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low diagram status" sheetId="2" state="visible" r:id="rId4"/>
    <sheet name="All features" sheetId="3" state="visible" r:id="rId5"/>
    <sheet name="Completed" sheetId="4" state="visible" r:id="rId6"/>
    <sheet name="In progress" sheetId="5" state="visible" r:id="rId7"/>
    <sheet name="Blocked" sheetId="6" state="visible" r:id="rId8"/>
    <sheet name="Yet to start" sheetId="7" state="visible" r:id="rId9"/>
    <sheet name="Changed since 3 Oct" sheetId="8" state="visible" r:id="rId10"/>
    <sheet name="Decisions &amp; go-live" sheetId="9" state="visible" r:id="rId11"/>
  </sheets>
  <definedNames>
    <definedName function="false" hidden="true" localSheetId="2" name="_xlnm._FilterDatabase" vbProcedure="false">'All features'!$A$1:$Q$159</definedName>
    <definedName function="false" hidden="true" localSheetId="5" name="_xlnm._FilterDatabase" vbProcedure="false">Blocked!$A$1:$J$11</definedName>
    <definedName function="false" hidden="true" localSheetId="3" name="_xlnm._FilterDatabase" vbProcedure="false">Completed!$A$1:$J$144</definedName>
    <definedName function="false" hidden="true" localSheetId="4" name="_xlnm._FilterDatabase" vbProcedure="false">'In progress'!$A$1:$J$5</definedName>
    <definedName function="false" hidden="true" localSheetId="6" name="_xlnm._FilterDatabase" vbProcedure="false">'Yet to start'!$A$1:$J$2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<sst xmlns="http://schemas.openxmlformats.org/spreadsheetml/2006/main" count="4606" uniqueCount="1174">
  <si>
    <t xml:space="preserve">GoKesari feature status - 6 Oct 2026</t>
  </si>
  <si>
    <t xml:space="preserve">Your workbook (Gokesari_Complete_Features_and_Workflows.xlsx: 148 rows + flow diagram) compared with the code on main @579fd42 (6 Oct 2026). Status is development status from code and tests, not QA sign-off.</t>
  </si>
  <si>
    <t xml:space="preserve">Checked on main @579fd42 (6 Oct 2026), fresh PostgreSQL 16 with migrations 0000-0050 applied: typecheck clean, lint 0 errors (4 unused-variable warnings), 1152/1152 tests passed in 83 files (vitest).</t>
  </si>
  <si>
    <t xml:space="preserve">Buckets: COMPLETED = built and merged to main (some behind a business rule that is off by default - see 'Switched on?'); IN PROGRESS = partly built, remaining work needs no one else; BLOCKED = remaining work waits on a decision, vendor or another feature; YET TO START = no code. A row stays COMPLETED when its only gap is tracked by another open row (named in 'Remaining scope / caveat').</t>
  </si>
  <si>
    <t xml:space="preserve">Headline</t>
  </si>
  <si>
    <t xml:space="preserve">3 Oct</t>
  </si>
  <si>
    <t xml:space="preserve">6 Oct (now)</t>
  </si>
  <si>
    <t xml:space="preserve">Change</t>
  </si>
  <si>
    <t xml:space="preserve">Total features tracked</t>
  </si>
  <si>
    <t xml:space="preserve">COMPLETED</t>
  </si>
  <si>
    <t xml:space="preserve">IN PROGRESS</t>
  </si>
  <si>
    <t xml:space="preserve">BLOCKED</t>
  </si>
  <si>
    <t xml:space="preserve">YET TO START</t>
  </si>
  <si>
    <t xml:space="preserve">UNCLEAR</t>
  </si>
  <si>
    <t xml:space="preserve">% complete</t>
  </si>
  <si>
    <t xml:space="preserve">3 Oct column is counted from the 'Status 3 Oct' column (source: GOKESARI_FEATURE_STATUS_REPORT_2026-10-03.xlsx); NEW-010 has no 3 Oct status.</t>
  </si>
  <si>
    <t xml:space="preserve">Section</t>
  </si>
  <si>
    <t xml:space="preserve">Total</t>
  </si>
  <si>
    <t xml:space="preserve">Feature Master</t>
  </si>
  <si>
    <t xml:space="preserve">Workflow Master</t>
  </si>
  <si>
    <t xml:space="preserve">RBAC Matrix</t>
  </si>
  <si>
    <t xml:space="preserve">State Machines</t>
  </si>
  <si>
    <t xml:space="preserve">Gig Assignment Rules</t>
  </si>
  <si>
    <t xml:space="preserve">Navigation</t>
  </si>
  <si>
    <t xml:space="preserve">KPIs</t>
  </si>
  <si>
    <t xml:space="preserve">Added after the target workbook</t>
  </si>
  <si>
    <t xml:space="preserve">TOTAL</t>
  </si>
  <si>
    <t xml:space="preserve">Your flow diagram</t>
  </si>
  <si>
    <t xml:space="preserve">Steps</t>
  </si>
  <si>
    <t xml:space="preserve">Total steps</t>
  </si>
  <si>
    <t xml:space="preserve">Your flow diagram, step by step, against the build</t>
  </si>
  <si>
    <t xml:space="preserve">Status is the weakest part a step needs; 'What works' says what a user can do today.</t>
  </si>
  <si>
    <t xml:space="preserve">#</t>
  </si>
  <si>
    <t xml:space="preserve">Box in your diagram</t>
  </si>
  <si>
    <t xml:space="preserve">Step</t>
  </si>
  <si>
    <t xml:space="preserve">Status 6 Oct</t>
  </si>
  <si>
    <t xml:space="preserve">Feature IDs</t>
  </si>
  <si>
    <t xml:space="preserve">What works in the build</t>
  </si>
  <si>
    <t xml:space="preserve">Gap</t>
  </si>
  <si>
    <t xml:space="preserve">Customer</t>
  </si>
  <si>
    <t xml:space="preserve">Location / Society</t>
  </si>
  <si>
    <t xml:space="preserve">GS-004, GS-005</t>
  </si>
  <si>
    <t xml:space="preserve">Saved address, device position or PIN; address linked to a registered society.</t>
  </si>
  <si>
    <t xml:space="preserve">-</t>
  </si>
  <si>
    <t xml:space="preserve">Search shop or product</t>
  </si>
  <si>
    <t xml:space="preserve">GS-019, GS-020, GS-021</t>
  </si>
  <si>
    <t xml:space="preserve">Shops that deliver here, nearest first; product search limited to serviceable shops; every shop selling a product.</t>
  </si>
  <si>
    <t xml:space="preserve">Compare local + online prices</t>
  </si>
  <si>
    <t xml:space="preserve">GS-022, NAV-001, GS-023</t>
  </si>
  <si>
    <t xml:space="preserve">Local comparison per unit / pack with lowest price; home-page comparison (F9, off by default).</t>
  </si>
  <si>
    <t xml:space="preserve">Online (e-commerce) prices hidden from customers until D7 - licensed source - is decided.</t>
  </si>
  <si>
    <t xml:space="preserve">Cart / Subscription</t>
  </si>
  <si>
    <t xml:space="preserve">GS-024, GS-025, GS-048, GS-049, NAV-003</t>
  </si>
  <si>
    <t xml:space="preserve">Single and multi-shop cart; coupons (F7) and shop offers (F8) off by default; milk and daily-goods subscriptions.</t>
  </si>
  <si>
    <t xml:space="preserve">Payment</t>
  </si>
  <si>
    <t xml:space="preserve">GS-028, GS-029, GS-030</t>
  </si>
  <si>
    <t xml:space="preserve">Wallet (topped up through Cashfree UPI / card / netbanking) and COD with risk limits.</t>
  </si>
  <si>
    <t xml:space="preserve">No per-order UPI / card / netbanking payment - waits on the go-ahead (GS-028 / NEW-007).</t>
  </si>
  <si>
    <t xml:space="preserve">Order engine</t>
  </si>
  <si>
    <t xml:space="preserve">Validate stock + service area</t>
  </si>
  <si>
    <t xml:space="preserve">GS-026, GS-016</t>
  </si>
  <si>
    <t xml:space="preserve">Checkout hard-blocks non-serviceable shops, out-of-stock lines, paused shops and minimum order.</t>
  </si>
  <si>
    <t xml:space="preserve">Split order by shop</t>
  </si>
  <si>
    <t xml:space="preserve">GS-033, GS-025</t>
  </si>
  <si>
    <t xml:space="preserve">One order per shop; one parent GK- reference for the checkout (F6, off by default).</t>
  </si>
  <si>
    <t xml:space="preserve">Confirm payment</t>
  </si>
  <si>
    <t xml:space="preserve">GS-028, SM-005</t>
  </si>
  <si>
    <t xml:space="preserve">Wallet debit or COD confirmed inside the order transaction, idempotent.</t>
  </si>
  <si>
    <t xml:space="preserve">Gateway confirmation and the payment state machine wait on GS-028.</t>
  </si>
  <si>
    <t xml:space="preserve">Create fulfillment tasks</t>
  </si>
  <si>
    <t xml:space="preserve">GS-032, WF-002</t>
  </si>
  <si>
    <t xml:space="preserve">Shop order created and the shop notified.</t>
  </si>
  <si>
    <t xml:space="preserve">Shop owner</t>
  </si>
  <si>
    <t xml:space="preserve">Receive order</t>
  </si>
  <si>
    <t xml:space="preserve">GS-055, NAV-008</t>
  </si>
  <si>
    <t xml:space="preserve">In-app + email notice; orders board.</t>
  </si>
  <si>
    <t xml:space="preserve">SMS / WhatsApp alerts wait on D2.</t>
  </si>
  <si>
    <t xml:space="preserve">Accept / reject / substitute</t>
  </si>
  <si>
    <t xml:space="preserve">GS-034, GS-035</t>
  </si>
  <si>
    <t xml:space="preserve">Accept, reject (full refund + restock), substitution with customer approval; late acceptance flagged to ops.</t>
  </si>
  <si>
    <t xml:space="preserve">Auto-cancel on accept timeout is part of NEW-007 (yet to start).</t>
  </si>
  <si>
    <t xml:space="preserve">Pick + pack</t>
  </si>
  <si>
    <t xml:space="preserve">GS-036</t>
  </si>
  <si>
    <t xml:space="preserve">Per-line picking and packing.</t>
  </si>
  <si>
    <t xml:space="preserve">Mark READY</t>
  </si>
  <si>
    <t xml:space="preserve">GA-006</t>
  </si>
  <si>
    <t xml:space="preserve">READY triggers rider search automatically.</t>
  </si>
  <si>
    <t xml:space="preserve">Gig assignment</t>
  </si>
  <si>
    <t xml:space="preserve">Check society authorization</t>
  </si>
  <si>
    <t xml:space="preserve">GA-001, GS-045</t>
  </si>
  <si>
    <t xml:space="preserve">Society whitelist honoured (exclusive or priority per society).</t>
  </si>
  <si>
    <t xml:space="preserve">Priority partner rules</t>
  </si>
  <si>
    <t xml:space="preserve">GA-002, GS-040</t>
  </si>
  <si>
    <t xml:space="preserve">Preferred riders ranked higher.</t>
  </si>
  <si>
    <t xml:space="preserve">Distance / ETA / load</t>
  </si>
  <si>
    <t xml:space="preserve">GA-003, GS-072, GA-005</t>
  </si>
  <si>
    <t xml:space="preserve">Distance + reliability + fairness ranking; road ETA (F4) and busy-rider ranking (F3) built, off by default.</t>
  </si>
  <si>
    <t xml:space="preserve">Multi-order batching not built.</t>
  </si>
  <si>
    <t xml:space="preserve">Assign / broadcast</t>
  </si>
  <si>
    <t xml:space="preserve">GS-039, GA-009</t>
  </si>
  <si>
    <t xml:space="preserve">Offer to the best rider, 2-min expiry, cron retries, ops can intervene.</t>
  </si>
  <si>
    <t xml:space="preserve">Sequential offers, not a broadcast; no radius widening.</t>
  </si>
  <si>
    <t xml:space="preserve">Delivery partner</t>
  </si>
  <si>
    <t xml:space="preserve">Accept job</t>
  </si>
  <si>
    <t xml:space="preserve">NAV-011</t>
  </si>
  <si>
    <t xml:space="preserve">Jobs screen: available, active, history.</t>
  </si>
  <si>
    <t xml:space="preserve">Pickup OTP / QR</t>
  </si>
  <si>
    <t xml:space="preserve">GS-041</t>
  </si>
  <si>
    <t xml:space="preserve">Pickup code required at handover.</t>
  </si>
  <si>
    <t xml:space="preserve">Code only - no QR.</t>
  </si>
  <si>
    <t xml:space="preserve">Navigate</t>
  </si>
  <si>
    <t xml:space="preserve">GS-072</t>
  </si>
  <si>
    <t xml:space="preserve">Google Maps deep link; road ETA on the rider dashboard (F4, off by default).</t>
  </si>
  <si>
    <t xml:space="preserve">No in-app turn-by-turn.</t>
  </si>
  <si>
    <t xml:space="preserve">Society access</t>
  </si>
  <si>
    <t xml:space="preserve">GS-047, GS-046</t>
  </si>
  <si>
    <t xml:space="preserve">Gate / parking instructions; security notified of the assigned rider.</t>
  </si>
  <si>
    <t xml:space="preserve">Customer OTP / POD</t>
  </si>
  <si>
    <t xml:space="preserve">GS-043</t>
  </si>
  <si>
    <t xml:space="preserve">Delivery OTP (5 attempts), ops override with a proof note, arrival checkpoints.</t>
  </si>
  <si>
    <t xml:space="preserve">Photo / signature POD is part of NEW-007 (yet to start).</t>
  </si>
  <si>
    <t xml:space="preserve">Society</t>
  </si>
  <si>
    <t xml:space="preserve">Whitelist / revoke Gig workers</t>
  </si>
  <si>
    <t xml:space="preserve">GS-045, RBAC-009</t>
  </si>
  <si>
    <t xml:space="preserve">Society admin approves / revokes riders, effective immediately, audited.</t>
  </si>
  <si>
    <t xml:space="preserve">Delivery instructions</t>
  </si>
  <si>
    <t xml:space="preserve">GS-047</t>
  </si>
  <si>
    <t xml:space="preserve">Shown to the assigned rider only.</t>
  </si>
  <si>
    <t xml:space="preserve">Security notification</t>
  </si>
  <si>
    <t xml:space="preserve">GS-046</t>
  </si>
  <si>
    <t xml:space="preserve">Configurable per society.</t>
  </si>
  <si>
    <t xml:space="preserve">Priority zone rules</t>
  </si>
  <si>
    <t xml:space="preserve">GS-040, GA-001</t>
  </si>
  <si>
    <t xml:space="preserve">Society priority in rider ranking.</t>
  </si>
  <si>
    <t xml:space="preserve">Post-order</t>
  </si>
  <si>
    <t xml:space="preserve">Delivered / failed / returned</t>
  </si>
  <si>
    <t xml:space="preserve">SM-001</t>
  </si>
  <si>
    <t xml:space="preserve">Full order state machine with history and audit.</t>
  </si>
  <si>
    <t xml:space="preserve">Refund / replacement</t>
  </si>
  <si>
    <t xml:space="preserve">GS-057, WF-007</t>
  </si>
  <si>
    <t xml:space="preserve">Returns, return pickups, refunds, replacement.</t>
  </si>
  <si>
    <t xml:space="preserve">Refunds go to the wallet; card / UPI refunds wait on GS-073.</t>
  </si>
  <si>
    <t xml:space="preserve">Ratings + support</t>
  </si>
  <si>
    <t xml:space="preserve">GS-059, GS-060, GS-056, GS-058</t>
  </si>
  <si>
    <t xml:space="preserve">Shop and rider ratings with moderation; issues, grievances, dispute cases with escalation.</t>
  </si>
  <si>
    <t xml:space="preserve">Shop settlement + Gig payout</t>
  </si>
  <si>
    <t xml:space="preserve">GS-062, GS-064, WF-010</t>
  </si>
  <si>
    <t xml:space="preserve">Weekly settlements and payouts with reconciliation.</t>
  </si>
  <si>
    <t xml:space="preserve">Bank transfer is manual.</t>
  </si>
  <si>
    <t xml:space="preserve">Subscription engine</t>
  </si>
  <si>
    <t xml:space="preserve">Milk / vegetables / daily goods</t>
  </si>
  <si>
    <t xml:space="preserve">GS-048, GS-049</t>
  </si>
  <si>
    <t xml:space="preserve">Daily and weekday schedules.</t>
  </si>
  <si>
    <t xml:space="preserve">Schedule</t>
  </si>
  <si>
    <t xml:space="preserve">GS-051</t>
  </si>
  <si>
    <t xml:space="preserve">Skip / pause / resume / cancel with cutoffs.</t>
  </si>
  <si>
    <t xml:space="preserve">Extra lifecycle stages (SM-004) in progress.</t>
  </si>
  <si>
    <t xml:space="preserve">Auto-create order</t>
  </si>
  <si>
    <t xml:space="preserve">WF-006</t>
  </si>
  <si>
    <t xml:space="preserve">Daily generation, idempotent per subscription and date.</t>
  </si>
  <si>
    <t xml:space="preserve">GS-050</t>
  </si>
  <si>
    <t xml:space="preserve">Charged from the wallet; PAYMENT_PENDING when short.</t>
  </si>
  <si>
    <t xml:space="preserve">Fulfillment + delivery</t>
  </si>
  <si>
    <t xml:space="preserve">Generated orders go through the normal shop and rider flow.</t>
  </si>
  <si>
    <t xml:space="preserve">Admin / operations</t>
  </si>
  <si>
    <t xml:space="preserve">KYC + shop approval</t>
  </si>
  <si>
    <t xml:space="preserve">GS-007, GS-008, WF-008</t>
  </si>
  <si>
    <t xml:space="preserve">Seller document verification with admin queue; fee gate before approval.</t>
  </si>
  <si>
    <t xml:space="preserve">Runs on the mock vendor until Gridlines keys are set.</t>
  </si>
  <si>
    <t xml:space="preserve">Product master</t>
  </si>
  <si>
    <t xml:space="preserve">GS-011, NEW-008</t>
  </si>
  <si>
    <t xml:space="preserve">Product master and category master.</t>
  </si>
  <si>
    <t xml:space="preserve">Payments / reconciliation</t>
  </si>
  <si>
    <t xml:space="preserve">GS-031</t>
  </si>
  <si>
    <t xml:space="preserve">Reconciliation with exception queue.</t>
  </si>
  <si>
    <t xml:space="preserve">Disputes / refunds</t>
  </si>
  <si>
    <t xml:space="preserve">GS-058, GS-057, RBAC-011</t>
  </si>
  <si>
    <t xml:space="preserve">Dispute queue with auto-escalation; refund approval.</t>
  </si>
  <si>
    <t xml:space="preserve">RBAC + audit</t>
  </si>
  <si>
    <t xml:space="preserve">GS-002, GS-067, GS-071</t>
  </si>
  <si>
    <t xml:space="preserve">Role and scope permissions; append-only audit log.</t>
  </si>
  <si>
    <t xml:space="preserve">RBAC-003 (operator 'Limited' shop management) waits on a definition.</t>
  </si>
  <si>
    <t xml:space="preserve">Analytics / controls</t>
  </si>
  <si>
    <t xml:space="preserve">GS-069, KPI-001..015, GS-068, NEW-001</t>
  </si>
  <si>
    <t xml:space="preserve">KPI dashboards, risk rules, business-rules console.</t>
  </si>
  <si>
    <t xml:space="preserve">Marketplace data</t>
  </si>
  <si>
    <t xml:space="preserve">GS-011</t>
  </si>
  <si>
    <t xml:space="preserve">Canonical products (GTIN / HSN / GST / brand / pack).</t>
  </si>
  <si>
    <t xml:space="preserve">Shop catalog</t>
  </si>
  <si>
    <t xml:space="preserve">GS-012, NEW-010</t>
  </si>
  <si>
    <t xml:space="preserve">Shop listings with own price and stock; category fill.</t>
  </si>
  <si>
    <t xml:space="preserve">Inventory</t>
  </si>
  <si>
    <t xml:space="preserve">GS-016, GS-017</t>
  </si>
  <si>
    <t xml:space="preserve">Stock and low-stock thresholds.</t>
  </si>
  <si>
    <t xml:space="preserve">Price history</t>
  </si>
  <si>
    <t xml:space="preserve">GS-015</t>
  </si>
  <si>
    <t xml:space="preserve">product_price_history and an immutable MRP trail.</t>
  </si>
  <si>
    <t xml:space="preserve">Customer consent</t>
  </si>
  <si>
    <t xml:space="preserve">GS-070</t>
  </si>
  <si>
    <t xml:space="preserve">Consent history and admin consent view.</t>
  </si>
  <si>
    <t xml:space="preserve">Orders / ledger</t>
  </si>
  <si>
    <t xml:space="preserve">GS-032, GS-029</t>
  </si>
  <si>
    <t xml:space="preserve">Orders, wallet ledger, finance snapshot on delivery.</t>
  </si>
  <si>
    <t xml:space="preserve">Analytics</t>
  </si>
  <si>
    <t xml:space="preserve">GS-069</t>
  </si>
  <si>
    <t xml:space="preserve">KPI suite.</t>
  </si>
  <si>
    <t xml:space="preserve">Flow steps by status</t>
  </si>
  <si>
    <t xml:space="preserve">Seq</t>
  </si>
  <si>
    <t xml:space="preserve">Section (your workbook)</t>
  </si>
  <si>
    <t xml:space="preserve">ID</t>
  </si>
  <si>
    <t xml:space="preserve">Module / portal</t>
  </si>
  <si>
    <t xml:space="preserve">Feature</t>
  </si>
  <si>
    <t xml:space="preserve">Priority</t>
  </si>
  <si>
    <t xml:space="preserve">Phase</t>
  </si>
  <si>
    <t xml:space="preserve">Requirement (your workbook)</t>
  </si>
  <si>
    <t xml:space="preserve">Rule / note (your workbook)</t>
  </si>
  <si>
    <t xml:space="preserve">Status 3 Oct</t>
  </si>
  <si>
    <t xml:space="preserve">Change since 3 Oct</t>
  </si>
  <si>
    <t xml:space="preserve">Switched on?</t>
  </si>
  <si>
    <t xml:space="preserve">What is built (checked in code, 6 Oct)</t>
  </si>
  <si>
    <t xml:space="preserve">Remaining scope / caveat</t>
  </si>
  <si>
    <t xml:space="preserve">Blocked on</t>
  </si>
  <si>
    <t xml:space="preserve">Evidence (file)</t>
  </si>
  <si>
    <t xml:space="preserve">GS-001</t>
  </si>
  <si>
    <t xml:space="preserve">Identity &amp; Access</t>
  </si>
  <si>
    <t xml:space="preserve">Mobile/email/Gmail login</t>
  </si>
  <si>
    <t xml:space="preserve">P0</t>
  </si>
  <si>
    <t xml:space="preserve">MVP</t>
  </si>
  <si>
    <t xml:space="preserve">Secure registration and authentication. (Roles: Customer, Shop, Gig, Operator, Admin, Society)</t>
  </si>
  <si>
    <t xml:space="preserve">RBAC mandatory.</t>
  </si>
  <si>
    <t xml:space="preserve">IN PROGRESS -&gt; BLOCKED</t>
  </si>
  <si>
    <t xml:space="preserve">Live (email OTP); SMS OTP not available</t>
  </si>
  <si>
    <t xml:space="preserve">Google, email magic link and a single mobile-or-email form; first-time /onboarding profile; My Profile with verified email change; checkout requires a mobile; admin can release a wrongly claimed number. Login rebuild now on main (was staging-only on 3 Oct).</t>
  </si>
  <si>
    <t xml:space="preserve">SMS delivery of the OTP so a mobile number is proven (OTP provider seam ready).</t>
  </si>
  <si>
    <t xml:space="preserve">D2 - SMS/OTP vendor with DLT registration</t>
  </si>
  <si>
    <t xml:space="preserve">src/server/otp/providers.ts; src/app/onboarding; src/app/profile; drizzle/0038_login_profile.sql</t>
  </si>
  <si>
    <t xml:space="preserve">GS-002</t>
  </si>
  <si>
    <t xml:space="preserve">Role-based access control</t>
  </si>
  <si>
    <t xml:space="preserve">Permissions by role and scope. (Roles: All roles)</t>
  </si>
  <si>
    <t xml:space="preserve">Least privilege.</t>
  </si>
  <si>
    <t xml:space="preserve">No change</t>
  </si>
  <si>
    <t xml:space="preserve">Live</t>
  </si>
  <si>
    <t xml:space="preserve">SOCIETY_ADMIN role; society roles scoped per membership (ADMIN/OPERATOR/RESIDENT)</t>
  </si>
  <si>
    <t xml:space="preserve">src/server/authz/permissions.ts; src/server/db/schema.ts (userRoleEnum)</t>
  </si>
  <si>
    <t xml:space="preserve">GS-003</t>
  </si>
  <si>
    <t xml:space="preserve">Multi-role user account</t>
  </si>
  <si>
    <t xml:space="preserve">P1</t>
  </si>
  <si>
    <t xml:space="preserve">Phase 2</t>
  </si>
  <si>
    <t xml:space="preserve">Allow approved users to hold multiple roles. (Roles: All)</t>
  </si>
  <si>
    <t xml:space="preserve">Separate approval per role.</t>
  </si>
  <si>
    <t xml:space="preserve">user_role_grants; active role switcher in the header; /api/me/roles; admin revoke; shop/rider/society flows grant roles; staff roles exclusive</t>
  </si>
  <si>
    <t xml:space="preserve">src/server/services/roles.ts; src/app/api/me/roles/route.ts</t>
  </si>
  <si>
    <t xml:space="preserve">GS-004</t>
  </si>
  <si>
    <t xml:space="preserve">Location</t>
  </si>
  <si>
    <t xml:space="preserve">PIN / address selection</t>
  </si>
  <si>
    <t xml:space="preserve">Select delivery address and service area. (Roles: Customer)</t>
  </si>
  <si>
    <t xml:space="preserve">Use address geocoding.</t>
  </si>
  <si>
    <t xml:space="preserve">'Deliver to' location: saved address, device position or PIN, remembered in a cookie. Phase B added Maps Places address search, a 'save this place' path, and recipient name / recipient mobile / Home-Work-Other on addresses</t>
  </si>
  <si>
    <t xml:space="preserve">src/lib/geo/provider.ts; src/components/location-bar.tsx; drizzle/0026</t>
  </si>
  <si>
    <t xml:space="preserve">GS-005</t>
  </si>
  <si>
    <t xml:space="preserve">Society identification</t>
  </si>
  <si>
    <t xml:space="preserve">Associate address with registered society. (Roles: Customer, Society)</t>
  </si>
  <si>
    <t xml:space="preserve">Society rules apply.</t>
  </si>
  <si>
    <t xml:space="preserve">Society membership; address &lt;-&gt; society link; orders.society_id</t>
  </si>
  <si>
    <t xml:space="preserve">src/server/services/societies.ts</t>
  </si>
  <si>
    <t xml:space="preserve">GS-006</t>
  </si>
  <si>
    <t xml:space="preserve">Shop Onboarding</t>
  </si>
  <si>
    <t xml:space="preserve">Shop registration</t>
  </si>
  <si>
    <t xml:space="preserve">Create shop profile, category, owner and location. (Roles: Shop, Operator)</t>
  </si>
  <si>
    <t xml:space="preserve">Operator approval before live.</t>
  </si>
  <si>
    <t xml:space="preserve">6 Oct: GST field added at registration; at least one of PAN / Udyam / GST / Shop Act required (135f29a).</t>
  </si>
  <si>
    <t xml:space="preserve">GS-007</t>
  </si>
  <si>
    <t xml:space="preserve">Business KYC</t>
  </si>
  <si>
    <t xml:space="preserve">Collect GST/PAN/license and required documents. (Roles: Shop, Operator, Admin)</t>
  </si>
  <si>
    <t xml:space="preserve">Verification status tracked.</t>
  </si>
  <si>
    <t xml:space="preserve">IN PROGRESS -&gt; COMPLETED</t>
  </si>
  <si>
    <t xml:space="preserve">Live; vendor checks run on the MOCK vendor until Gridlines keys are set (KYC_PROVIDER)</t>
  </si>
  <si>
    <t xml:space="preserve">Seller verification Parts 1-4: PAN, GSTIN, Udyam, FSSAI and Shop Act per shop with document upload, vendor check (provider-agnostic, Gridlines adapter + mock), name matching, cross-document consistency score, per-document status, admin review queue (approve / reject with reason / re-check), daily re-check and expiry job, auto-suspend on lapse, DPDP retention/erasure.</t>
  </si>
  <si>
    <t xml:space="preserve">Real vendor: Gridlines sandbox then live keys and written confirmation of response fields, Shop Act coverage, prices, DPA. By design, verification informs shop approval but does not block it.</t>
  </si>
  <si>
    <t xml:space="preserve">src/server/services/seller-verification*.ts; src/server/kyc/; /shop/verification; /admin/seller-verification; drizzle/0040, 0041; docs/seller-verification/</t>
  </si>
  <si>
    <t xml:space="preserve">GS-008</t>
  </si>
  <si>
    <t xml:space="preserve">Payment reference verification</t>
  </si>
  <si>
    <t xml:space="preserve">Verify onboarding/subscription payment and authorize shop. (Roles: Operator)</t>
  </si>
  <si>
    <t xml:space="preserve">Audit every action.</t>
  </si>
  <si>
    <t xml:space="preserve">approveShop() now refuses unless fee_payment_status = PAID (derived from the shop_payments ledger), naming the amount outstanding; waived fee (zero snapshot) is written PAID at registration; approval queue shows each pending shop's fee state. Gate is on the transition only - shops already APPROVED untouched</t>
  </si>
  <si>
    <t xml:space="preserve">src/server/services/shops.ts (approveShop); src/components/shop-approval-panel.tsx; tests/integration/registration-fees.test.ts</t>
  </si>
  <si>
    <t xml:space="preserve">GS-009</t>
  </si>
  <si>
    <t xml:space="preserve">Shop categories</t>
  </si>
  <si>
    <t xml:space="preserve">Support grocery, dairy, pharmacy, clothing, electronics, repair, etc. (Roles: Admin, Operator)</t>
  </si>
  <si>
    <t xml:space="preserve">Configurable category master.</t>
  </si>
  <si>
    <t xml:space="preserve">Admin-configurable category master: shop_categories + shop_category_mapping (many per shop), seeded from the 44 shop types and backfilled; registration requires at least one category; owners edit their own on /shop; operators/admins manage the list at /admin/shop-categories and assign per shop; uncategorised shops flagged; categories feed search relevance</t>
  </si>
  <si>
    <t xml:space="preserve">src/server/services/shop-categories.ts; src/app/admin/shop-categories/page.tsx; drizzle/0035</t>
  </si>
  <si>
    <t xml:space="preserve">GS-010</t>
  </si>
  <si>
    <t xml:space="preserve">Service radius / delivery zone</t>
  </si>
  <si>
    <t xml:space="preserve">Define where shop can serve customers. (Roles: Shop, Operator)</t>
  </si>
  <si>
    <t xml:space="preserve">Geospatial validation.</t>
  </si>
  <si>
    <t xml:space="preserve">shops.service_radius_km (1-50 km) editable by the shop; Phase B added extra delivery zones by PIN code (shops.delivery_pincodes), honoured by serviceability, checkout and discovery</t>
  </si>
  <si>
    <t xml:space="preserve">src/server/services/serviceability.ts; src/server/db/schema.ts:691; drizzle/0019, 0026</t>
  </si>
  <si>
    <t xml:space="preserve">Catalog</t>
  </si>
  <si>
    <t xml:space="preserve">Central product catalog with SKU/GTIN/HSN/GST/brand/pack size. (Roles: Admin, Operator)</t>
  </si>
  <si>
    <t xml:space="preserve">One canonical product identity.</t>
  </si>
  <si>
    <t xml:space="preserve">GS-012</t>
  </si>
  <si>
    <t xml:space="preserve">Shop catalog mapping</t>
  </si>
  <si>
    <t xml:space="preserve">Map products to shop-specific price, stock and availability. (Roles: Shop, Operator)</t>
  </si>
  <si>
    <t xml:space="preserve">Shop-specific sellable SKU.</t>
  </si>
  <si>
    <t xml:space="preserve">GS-013</t>
  </si>
  <si>
    <t xml:space="preserve">Bulk product upload</t>
  </si>
  <si>
    <t xml:space="preserve">CSV/Excel upload with validation. (Roles: Shop, Operator)</t>
  </si>
  <si>
    <t xml:space="preserve">Error report + retry.</t>
  </si>
  <si>
    <t xml:space="preserve">GS-014</t>
  </si>
  <si>
    <t xml:space="preserve">Product images/specifications</t>
  </si>
  <si>
    <t xml:space="preserve">Manage images, descriptions and attributes. (Roles: Shop, Operator)</t>
  </si>
  <si>
    <t xml:space="preserve">Moderation rules.</t>
  </si>
  <si>
    <t xml:space="preserve">Off by default in code - switch on in Admin &gt; Business rules (scripts/enable-new-features.sql does it for test) (rule: imageModeration.enabled)</t>
  </si>
  <si>
    <t xml:space="preserve">Image store with several images per product/listing, primary, reorder, alt text; F10 moderation queue (pending -&gt; approve / reject with reason) at /admin/image-moderation; existing photos stay live.</t>
  </si>
  <si>
    <t xml:space="preserve">src/server/services/product-images.ts; drizzle/0049_image_moderation.sql; tests/integration/image-moderation.test.ts</t>
  </si>
  <si>
    <t xml:space="preserve">MRP / selling price / discount</t>
  </si>
  <si>
    <t xml:space="preserve">Maintain MRP and shop selling price. (Roles: Shop)</t>
  </si>
  <si>
    <t xml:space="preserve">Prevent invalid discount display.</t>
  </si>
  <si>
    <t xml:space="preserve">MRP governance: a selling price above an enforced MRP is refused everywhere a shop price is written (assertPriceWithinMrp on both catalogue write paths); MRP provenance and verification status; MRP drops notify shops without touching prices; shop MRP corrections decided by operations; violations report; MRP shown on the product page</t>
  </si>
  <si>
    <t xml:space="preserve">src/server/services/mrp-governance.ts; src/server/services/catalogue.ts:617,710; src/app/admin/mrp/page.tsx; drizzle/0032</t>
  </si>
  <si>
    <t xml:space="preserve">GS-016</t>
  </si>
  <si>
    <t xml:space="preserve">Stock quantity</t>
  </si>
  <si>
    <t xml:space="preserve">Update available quantity. (Roles: Shop, Operator)</t>
  </si>
  <si>
    <t xml:space="preserve">Real-time or near-real-time.</t>
  </si>
  <si>
    <t xml:space="preserve">GS-017</t>
  </si>
  <si>
    <t xml:space="preserve">Low-stock threshold</t>
  </si>
  <si>
    <t xml:space="preserve">Alert when stock falls below threshold. (Roles: Shop)</t>
  </si>
  <si>
    <t xml:space="preserve">Configurable per SKU.</t>
  </si>
  <si>
    <t xml:space="preserve">Extended by GS-018 (three-level thresholds, Phase I)</t>
  </si>
  <si>
    <t xml:space="preserve">GS-018</t>
  </si>
  <si>
    <t xml:space="preserve">Reorder level / quantity</t>
  </si>
  <si>
    <t xml:space="preserve">Suggest replenishment. (Roles: Shop)</t>
  </si>
  <si>
    <t xml:space="preserve">Analytics-driven.</t>
  </si>
  <si>
    <t xml:space="preserve">Low-stock threshold, reorder level and reorder quantity resolved at listing -&gt; product -&gt; shop level with an explicit opt-out and the source reported; reserved / available / on-hand; one notification per new alert; hand-edited stock now writes the ledger and re-checks alerts</t>
  </si>
  <si>
    <t xml:space="preserve">Analytics-driven replenishment suggestions (enhancement)</t>
  </si>
  <si>
    <t xml:space="preserve">src/server/services/inventory-alerts.ts; src/app/shop/inventory/page.tsx; drizzle/0033</t>
  </si>
  <si>
    <t xml:space="preserve">GS-019</t>
  </si>
  <si>
    <t xml:space="preserve">Search</t>
  </si>
  <si>
    <t xml:space="preserve">Shop search</t>
  </si>
  <si>
    <t xml:space="preserve">Search shops by name/category/location. (Roles: Customer)</t>
  </si>
  <si>
    <t xml:space="preserve">Distance filter.</t>
  </si>
  <si>
    <t xml:space="preserve">Shops that deliver to the location, nearest first, with distance</t>
  </si>
  <si>
    <t xml:space="preserve">src/server/services/serviceability.ts</t>
  </si>
  <si>
    <t xml:space="preserve">GS-020</t>
  </si>
  <si>
    <t xml:space="preserve">Product search</t>
  </si>
  <si>
    <t xml:space="preserve">Search product across nearby shops. (Roles: Customer)</t>
  </si>
  <si>
    <t xml:space="preserve">Product-centric discovery.</t>
  </si>
  <si>
    <t xml:space="preserve">Product search limited to serviceable shops, nearest first</t>
  </si>
  <si>
    <t xml:space="preserve">src/app/search/page.tsx; src/server/services/catalogue.ts</t>
  </si>
  <si>
    <t xml:space="preserve">GS-021</t>
  </si>
  <si>
    <t xml:space="preserve">All shops selling product</t>
  </si>
  <si>
    <t xml:space="preserve">Show same product across eligible local shops. (Roles: Customer)</t>
  </si>
  <si>
    <t xml:space="preserve">Availability + distance.</t>
  </si>
  <si>
    <t xml:space="preserve">/products/{id}: every shop selling the product</t>
  </si>
  <si>
    <t xml:space="preserve">src/app/products/[id]/page.tsx</t>
  </si>
  <si>
    <t xml:space="preserve">GS-022</t>
  </si>
  <si>
    <t xml:space="preserve">Comparison</t>
  </si>
  <si>
    <t xml:space="preserve">Local price comparison</t>
  </si>
  <si>
    <t xml:space="preserve">Compare same product among local shops. (Roles: Customer)</t>
  </si>
  <si>
    <t xml:space="preserve">Normalize pack/unit.</t>
  </si>
  <si>
    <t xml:space="preserve">Per-unit / per-pack comparison, 'Lowest price', delivers-to-you</t>
  </si>
  <si>
    <t xml:space="preserve">GS-023</t>
  </si>
  <si>
    <t xml:space="preserve">E-commerce price benchmark</t>
  </si>
  <si>
    <t xml:space="preserve">Show external online price where legally/technically available. (Roles: Customer)</t>
  </si>
  <si>
    <t xml:space="preserve">Label source and timestamp.</t>
  </si>
  <si>
    <t xml:space="preserve">Hidden from customers (externalPrices.showToCustomers = false)</t>
  </si>
  <si>
    <t xml:space="preserve">External reference prices with source, time, location, URL, verification and audit history; shops and operations see them.</t>
  </si>
  <si>
    <t xml:space="preserve">Turn on the customer display - one rule flip, no code.</t>
  </si>
  <si>
    <t xml:space="preserve">D7 - lawful / licensed price source</t>
  </si>
  <si>
    <t xml:space="preserve">src/server/config/rules.ts (externalPrices)</t>
  </si>
  <si>
    <t xml:space="preserve">GS-024</t>
  </si>
  <si>
    <t xml:space="preserve">Cart</t>
  </si>
  <si>
    <t xml:space="preserve">Single-shop cart</t>
  </si>
  <si>
    <t xml:space="preserve">Build cart from one shop. (Roles: Customer)</t>
  </si>
  <si>
    <t xml:space="preserve">Simple fulfillment.</t>
  </si>
  <si>
    <t xml:space="preserve">GS-025</t>
  </si>
  <si>
    <t xml:space="preserve">Multi-shop cart</t>
  </si>
  <si>
    <t xml:space="preserve">Allow multiple shops and split into child orders. (Roles: Customer)</t>
  </si>
  <si>
    <t xml:space="preserve">Separate fulfillment.</t>
  </si>
  <si>
    <t xml:space="preserve">GS-026</t>
  </si>
  <si>
    <t xml:space="preserve">Checkout</t>
  </si>
  <si>
    <t xml:space="preserve">Address validation</t>
  </si>
  <si>
    <t xml:space="preserve">Validate serviceability before payment. (Roles: Customer)</t>
  </si>
  <si>
    <t xml:space="preserve">Hard block if unavailable.</t>
  </si>
  <si>
    <t xml:space="preserve">Cart warning, then a checkout hard block when a shop does not deliver to the address. Phase B added a cart-validation service that re-checks every shop in the cart against the chosen location - deliverable, paused, unavailable items, minimum order, delivery charge, closed-now - each with an action, re-running when the address changes</t>
  </si>
  <si>
    <t xml:space="preserve">src/server/services/cart-validation.ts; src/app/api/cart/validate/route.ts</t>
  </si>
  <si>
    <t xml:space="preserve">GS-027</t>
  </si>
  <si>
    <t xml:space="preserve">Delivery slot</t>
  </si>
  <si>
    <t xml:space="preserve">Immediate or scheduled delivery. (Roles: Customer)</t>
  </si>
  <si>
    <t xml:space="preserve">Slot capacity rules.</t>
  </si>
  <si>
    <t xml:space="preserve">Progressed, same status</t>
  </si>
  <si>
    <t xml:space="preserve">Off by default in code - switch on in Admin &gt; Business rules (scripts/enable-new-features.sql does it for test) (rule: deliverySlots.enabled)</t>
  </si>
  <si>
    <t xml:space="preserve">EXPRESS_30 / STANDARD_60 / SCHEDULED windows with feasibility preview, plus F5 slot capacity per shop / PIN code / default with an advisory lock so a slot cannot be overbooked (full slots shown unavailable).</t>
  </si>
  <si>
    <t xml:space="preserve">Customer cannot pick a date or time for a scheduled delivery - a scheduled order is booked against the day it is placed.</t>
  </si>
  <si>
    <t xml:space="preserve">src/server/services/delivery-slots.ts; drizzle/0045_delivery_slots.sql; tests/integration/delivery-slots.test.ts</t>
  </si>
  <si>
    <t xml:space="preserve">GS-028</t>
  </si>
  <si>
    <t xml:space="preserve">Payments</t>
  </si>
  <si>
    <t xml:space="preserve">UPI/card/netbanking gateway</t>
  </si>
  <si>
    <t xml:space="preserve">Secure online payment. (Roles: Customer)</t>
  </si>
  <si>
    <t xml:space="preserve">Gateway webhook reconciliation.</t>
  </si>
  <si>
    <t xml:space="preserve">Cashfree live for wallet top-up only (create order, server verify, HMAC webhook, mock mode). Orders are paid by WALLET or COD; payment_method enum is still WALLET | COD.</t>
  </si>
  <si>
    <t xml:space="preserve">Per-order ONLINE payment via Cashfree hosted checkout (design signed off 1 Oct).</t>
  </si>
  <si>
    <t xml:space="preserve">Go-ahead to build per-order payment, or a decision to launch wallet + COD only</t>
  </si>
  <si>
    <t xml:space="preserve">src/server/db/schema.ts:197 (paymentMethodEnum); src/server/services/payments.ts</t>
  </si>
  <si>
    <t xml:space="preserve">GS-029</t>
  </si>
  <si>
    <t xml:space="preserve">Wallet</t>
  </si>
  <si>
    <t xml:space="preserve">Wallet top-up and usage. (Roles: Customer)</t>
  </si>
  <si>
    <t xml:space="preserve">Ledger based.</t>
  </si>
  <si>
    <t xml:space="preserve">GS-030</t>
  </si>
  <si>
    <t xml:space="preserve">COD</t>
  </si>
  <si>
    <t xml:space="preserve">Optional cash-on-delivery with configurable rules. (Roles: Customer, Shop)</t>
  </si>
  <si>
    <t xml:space="preserve">Risk limits.</t>
  </si>
  <si>
    <t xml:space="preserve">COD at checkout with risk limits; shop opt-in; rider/operator cash confirmation; collection nets into finance batches; deposits at /admin/cod; COD refunds as wallet credit</t>
  </si>
  <si>
    <t xml:space="preserve">src/server/services/cod.ts; src/app/admin/cod/page.tsx</t>
  </si>
  <si>
    <t xml:space="preserve">Payment reconciliation</t>
  </si>
  <si>
    <t xml:space="preserve">Match gateway transactions to orders. (Roles: Operator, Admin)</t>
  </si>
  <si>
    <t xml:space="preserve">Exception queue.</t>
  </si>
  <si>
    <t xml:space="preserve">Reconciliation records + exception queue (order/payment/rider/settlement/payout)</t>
  </si>
  <si>
    <t xml:space="preserve">Reconciles the gateway transactions that exist today (wallet top-ups).</t>
  </si>
  <si>
    <t xml:space="preserve">src/app/api/finance/reconciliation/route.ts; src/server/services/finance.ts</t>
  </si>
  <si>
    <t xml:space="preserve">GS-032</t>
  </si>
  <si>
    <t xml:space="preserve">Orders</t>
  </si>
  <si>
    <t xml:space="preserve">Order creation</t>
  </si>
  <si>
    <t xml:space="preserve">Create order after checkout. (Roles: Customer)</t>
  </si>
  <si>
    <t xml:space="preserve">Idempotent order creation.</t>
  </si>
  <si>
    <t xml:space="preserve">GS-033</t>
  </si>
  <si>
    <t xml:space="preserve">Shop order split</t>
  </si>
  <si>
    <t xml:space="preserve">Create shop-specific fulfillment order(s). (Roles: System, Shop)</t>
  </si>
  <si>
    <t xml:space="preserve">Master + child order model.</t>
  </si>
  <si>
    <t xml:space="preserve">Off by default in code - switch on in Admin &gt; Business rules (scripts/enable-new-features.sql does it for test) (rule: parentOrders.enabled)</t>
  </si>
  <si>
    <t xml:space="preserve">One order per shop from a multi-shop cart, plus F6 parent reference (GK-...) linking them; customer page /orders/group/[reference].</t>
  </si>
  <si>
    <t xml:space="preserve">src/server/services/order-groups.ts; drizzle/0046_order_groups.sql; tests/integration/order-groups.test.ts</t>
  </si>
  <si>
    <t xml:space="preserve">GS-034</t>
  </si>
  <si>
    <t xml:space="preserve">Shop accept/reject</t>
  </si>
  <si>
    <t xml:space="preserve">Confirm order and availability. (Roles: Shop)</t>
  </si>
  <si>
    <t xml:space="preserve">Timeout escalation.</t>
  </si>
  <si>
    <t xml:space="preserve">Shop accept / reject (reject = full refund + restock); ops exceptions flag 'Shop not accepting' and 'Shop slow to prepare'</t>
  </si>
  <si>
    <t xml:space="preserve">Accept-timeout auto-cancel (designed 1 Oct, not built) Late acceptance is flagged in the ops exceptions queue; auto-cancel on timeout is part of NEW-007 (yet to start).</t>
  </si>
  <si>
    <t xml:space="preserve">src/server/services/fulfilment.ts; src/server/services/ops-exceptions.ts</t>
  </si>
  <si>
    <t xml:space="preserve">GS-035</t>
  </si>
  <si>
    <t xml:space="preserve">Substitution approval</t>
  </si>
  <si>
    <t xml:space="preserve">Allow replacement for unavailable items. (Roles: Customer, Shop)</t>
  </si>
  <si>
    <t xml:space="preserve">Customer preference configurable.</t>
  </si>
  <si>
    <t xml:space="preserve">Shop proposes a substitute; customer approves/rejects; price difference refunded</t>
  </si>
  <si>
    <t xml:space="preserve">src/app/api/orders/[id]/items/[itemId]/substitution/route.ts</t>
  </si>
  <si>
    <t xml:space="preserve">Pick and pack</t>
  </si>
  <si>
    <t xml:space="preserve">Prepare order and mark ready. (Roles: Shop)</t>
  </si>
  <si>
    <t xml:space="preserve">SLA tracking.</t>
  </si>
  <si>
    <t xml:space="preserve">Per-line picking, pack -&gt; READY</t>
  </si>
  <si>
    <t xml:space="preserve">SLA reporting SLA measured by the pick-pack KPI; SLA reporting per shop is part of NEW-007.</t>
  </si>
  <si>
    <t xml:space="preserve">src/server/services/fulfilment.ts</t>
  </si>
  <si>
    <t xml:space="preserve">GS-037</t>
  </si>
  <si>
    <t xml:space="preserve">Delivery</t>
  </si>
  <si>
    <t xml:space="preserve">Gig worker onboarding</t>
  </si>
  <si>
    <t xml:space="preserve">KYC, vehicle and bank details. (Roles: Gig, Operator)</t>
  </si>
  <si>
    <t xml:space="preserve">Approval workflow.</t>
  </si>
  <si>
    <t xml:space="preserve">GS-038</t>
  </si>
  <si>
    <t xml:space="preserve">Online/offline status</t>
  </si>
  <si>
    <t xml:space="preserve">Worker controls availability. (Roles: Gig)</t>
  </si>
  <si>
    <t xml:space="preserve">Location only when required/consented.</t>
  </si>
  <si>
    <t xml:space="preserve">GS-039</t>
  </si>
  <si>
    <t xml:space="preserve">Job assignment</t>
  </si>
  <si>
    <t xml:space="preserve">Assign delivery after shop ready. (Roles: System, Gig)</t>
  </si>
  <si>
    <t xml:space="preserve">Rules engine.</t>
  </si>
  <si>
    <t xml:space="preserve">Auto-trigger on READY; cron retry; no re-offer to decliners; Phase C made the whole search bounded and logged (rider_searches, dispatch_attempts) with admin-tunable retry interval, attempt cap and time limit</t>
  </si>
  <si>
    <t xml:space="preserve">src/server/services/delivery-assignment.ts; drizzle/0027</t>
  </si>
  <si>
    <t xml:space="preserve">GS-040</t>
  </si>
  <si>
    <t xml:space="preserve">Society priority assignment</t>
  </si>
  <si>
    <t xml:space="preserve">Prefer authorized workers for specific society. (Roles: System, Gig, Society)</t>
  </si>
  <si>
    <t xml:space="preserve">Priority ≠ exclusive unless society config says so.</t>
  </si>
  <si>
    <t xml:space="preserve">Society preference in dispatch ranking</t>
  </si>
  <si>
    <t xml:space="preserve">src/server/services/delivery-assignment.ts:123</t>
  </si>
  <si>
    <t xml:space="preserve">Pickup OTP/QR</t>
  </si>
  <si>
    <t xml:space="preserve">Validate handover. (Roles: Shop, Gig)</t>
  </si>
  <si>
    <t xml:space="preserve">Audit timestamp.</t>
  </si>
  <si>
    <t xml:space="preserve">Pickup code issued on accept; rider must enter it</t>
  </si>
  <si>
    <t xml:space="preserve">QR variant Pickup code only - no QR.</t>
  </si>
  <si>
    <t xml:space="preserve">src/server/services/delivery-assignment.ts</t>
  </si>
  <si>
    <t xml:space="preserve">GS-042</t>
  </si>
  <si>
    <t xml:space="preserve">Live tracking</t>
  </si>
  <si>
    <t xml:space="preserve">Track active delivery. (Roles: Customer, Gig, Admin)</t>
  </si>
  <si>
    <t xml:space="preserve">Privacy-aware location sharing.</t>
  </si>
  <si>
    <t xml:space="preserve">Tracking API with role/privacy checks + polling LiveTrackingMap, now MOUNTED: on /orders inside an in-flight order card that has a rider, and on /admin/orders behind a per-row Track toggle. isTrackableOrderStatus() limits polling to orders actually in flight. Rider privacy: area only until pickup, no ETA from a stale fix</t>
  </si>
  <si>
    <t xml:space="preserve">src/app/orders/page.tsx:199; src/components/order-monitoring-table.tsx:171; src/lib/tracking.ts; tests/unit/tracking.test.ts</t>
  </si>
  <si>
    <t xml:space="preserve">Delivery OTP/POD</t>
  </si>
  <si>
    <t xml:space="preserve">Confirm successful delivery. (Roles: Customer, Gig)</t>
  </si>
  <si>
    <t xml:space="preserve">Photo/signature optional.</t>
  </si>
  <si>
    <t xml:space="preserve">Customer delivery OTP (5 attempts); operations override with a proof note; 'Delivery code locked' is an ops exception</t>
  </si>
  <si>
    <t xml:space="preserve">Photo / signature proof of delivery (designed 1 Oct, not built) Delivery OTP with ops override; photo POD (optional in your table) is part of NEW-007.</t>
  </si>
  <si>
    <t xml:space="preserve">src/server/services/delivery-assignment.ts; docs/gokesari-audit/DESIGN_PAYMENTS_INVOICING_POD_SLA.md</t>
  </si>
  <si>
    <t xml:space="preserve">GS-044</t>
  </si>
  <si>
    <t xml:space="preserve">Society registration</t>
  </si>
  <si>
    <t xml:space="preserve">Create society profile and service rules. (Roles: Society, Operator)</t>
  </si>
  <si>
    <t xml:space="preserve">Verified society admin.</t>
  </si>
  <si>
    <t xml:space="preserve">Registration -&gt; operator verify/reject/suspend/reinstate</t>
  </si>
  <si>
    <t xml:space="preserve">Map pin picker on the society form</t>
  </si>
  <si>
    <t xml:space="preserve">src/app/api/societies/[id]/decision/route.ts</t>
  </si>
  <si>
    <t xml:space="preserve">GS-045</t>
  </si>
  <si>
    <t xml:space="preserve">Authorized Gig worker whitelist</t>
  </si>
  <si>
    <t xml:space="preserve">Approve/revoke specific workers. (Roles: Society)</t>
  </si>
  <si>
    <t xml:space="preserve">Effective immediately with audit.</t>
  </si>
  <si>
    <t xml:space="preserve">Authorised rider list by mobile; add / revoke / preferred; audited</t>
  </si>
  <si>
    <t xml:space="preserve">src/app/api/societies/[id]/riders/route.ts</t>
  </si>
  <si>
    <t xml:space="preserve">Notify security of assigned worker/order. (Roles: Society, Gig)</t>
  </si>
  <si>
    <t xml:space="preserve">Configurable.</t>
  </si>
  <si>
    <t xml:space="preserve">Society security alert on rider acceptance (opt-in)</t>
  </si>
  <si>
    <t xml:space="preserve">Gate/parking/access instructions. (Roles: Society, Customer)</t>
  </si>
  <si>
    <t xml:space="preserve">Do not expose sensitive notes unnecessarily.</t>
  </si>
  <si>
    <t xml:space="preserve">Society gate notes + customer landmark/instructions on the rider job; Phase C added a gate entry mode, an optional security-desk contact shared with the rider only if the society enables it, and a customer-at-gate notice</t>
  </si>
  <si>
    <t xml:space="preserve">drizzle/0027; src/server/services/societies.ts</t>
  </si>
  <si>
    <t xml:space="preserve">GS-048</t>
  </si>
  <si>
    <t xml:space="preserve">Subscription</t>
  </si>
  <si>
    <t xml:space="preserve">Daily milk subscription</t>
  </si>
  <si>
    <t xml:space="preserve">Recurring milk order. (Roles: Customer, Shop)</t>
  </si>
  <si>
    <t xml:space="preserve">Skip/pause/resume.</t>
  </si>
  <si>
    <t xml:space="preserve">GS-049</t>
  </si>
  <si>
    <t xml:space="preserve">Recurring vegetables/daily goods</t>
  </si>
  <si>
    <t xml:space="preserve">Recurring schedule and quantity. (Roles: Customer, Shop)</t>
  </si>
  <si>
    <t xml:space="preserve">Generate order before cutoff.</t>
  </si>
  <si>
    <t xml:space="preserve">Weekday schedules; generated orders carry address/society</t>
  </si>
  <si>
    <t xml:space="preserve">src/server/services/subscriptions.ts</t>
  </si>
  <si>
    <t xml:space="preserve">Subscription payment</t>
  </si>
  <si>
    <t xml:space="preserve">Charge per cycle or wallet. (Roles: Customer, System)</t>
  </si>
  <si>
    <t xml:space="preserve">Failed payment retry.</t>
  </si>
  <si>
    <t xml:space="preserve">Skip/pause/resume/cancel</t>
  </si>
  <si>
    <t xml:space="preserve">Manage recurring service. (Roles: Customer)</t>
  </si>
  <si>
    <t xml:space="preserve">Cutoff rules.</t>
  </si>
  <si>
    <t xml:space="preserve">GS-052</t>
  </si>
  <si>
    <t xml:space="preserve">Marketing</t>
  </si>
  <si>
    <t xml:space="preserve">Customer segmentation</t>
  </si>
  <si>
    <t xml:space="preserve">Filter by locality, prior purchase, consent. (Roles: Shop, Operator)</t>
  </si>
  <si>
    <t xml:space="preserve">Consent required.</t>
  </si>
  <si>
    <t xml:space="preserve">Segments by PIN, society, delivered orders, recency, lapse, spend; consent required; counts only</t>
  </si>
  <si>
    <t xml:space="preserve">src/server/services/marketing.ts:89</t>
  </si>
  <si>
    <t xml:space="preserve">GS-053</t>
  </si>
  <si>
    <t xml:space="preserve">Shop promotional campaigns</t>
  </si>
  <si>
    <t xml:space="preserve">Discounts, vouchers and campaigns. (Roles: Shop)</t>
  </si>
  <si>
    <t xml:space="preserve">Budget/rate limits.</t>
  </si>
  <si>
    <t xml:space="preserve">Shop campaigns with budget, shop rate limit and customer frequency caps</t>
  </si>
  <si>
    <t xml:space="preserve">src/server/services/marketing.ts</t>
  </si>
  <si>
    <t xml:space="preserve">GS-054</t>
  </si>
  <si>
    <t xml:space="preserve">Referral program</t>
  </si>
  <si>
    <t xml:space="preserve">Referral codes and rewards. (Roles: Shop, Customer)</t>
  </si>
  <si>
    <t xml:space="preserve">Fraud checks.</t>
  </si>
  <si>
    <t xml:space="preserve">Off by default in code - switch on in Admin &gt; Business rules (scripts/enable-new-features.sql does it for test) (rule: customerReferrals.enabled; rewards Rs 50 / Rs 50)</t>
  </si>
  <si>
    <t xml:space="preserve">Shop referral attribution, plus F11 customer referral code and link (/refer, /r/CODE): both rewarded on the friend's first delivered order; self-referral, duplicate-account and per-referrer cap guards; /admin/customer-referrals.</t>
  </si>
  <si>
    <t xml:space="preserve">src/server/services/customer-referrals.ts; drizzle/0050_customer_referrals.sql; tests/integration/customer-referrals.test.ts</t>
  </si>
  <si>
    <t xml:space="preserve">GS-055</t>
  </si>
  <si>
    <t xml:space="preserve">Notifications</t>
  </si>
  <si>
    <t xml:space="preserve">Order notifications</t>
  </si>
  <si>
    <t xml:space="preserve">Push/SMS/email/WhatsApp where available. (Roles: Customer, Shop, Gig)</t>
  </si>
  <si>
    <t xml:space="preserve">Event driven.</t>
  </si>
  <si>
    <t xml:space="preserve">Notification framework: in-app + email, queued per channel with retries and backoff, delivery log, dead-letter handling, per-category preferences (security notices always on), read/unread, and templates for every order, return, delivery, shop, wallet, subscription, society and security event. Sent by a one-minute cron</t>
  </si>
  <si>
    <t xml:space="preserve">Email + in-app; SMS / WhatsApp / push wait on GS-074 (blocked).</t>
  </si>
  <si>
    <t xml:space="preserve">src/server/notifications/{channels,templates,types}.ts; src/server/services/notifications.ts; src/app/api/cron/notifications/route.ts; drizzle/0030</t>
  </si>
  <si>
    <t xml:space="preserve">GS-056</t>
  </si>
  <si>
    <t xml:space="preserve">Support</t>
  </si>
  <si>
    <t xml:space="preserve">Report an issue</t>
  </si>
  <si>
    <t xml:space="preserve">Create issue from order. (Roles: Customer, Shop, Gig)</t>
  </si>
  <si>
    <t xml:space="preserve">Ticket linked to order.</t>
  </si>
  <si>
    <t xml:space="preserve">'Report a problem' on an order -&gt; linked ticket</t>
  </si>
  <si>
    <t xml:space="preserve">src/app/api/orders/[id]/issue/route.ts</t>
  </si>
  <si>
    <t xml:space="preserve">GS-057</t>
  </si>
  <si>
    <t xml:space="preserve">Returns/refunds</t>
  </si>
  <si>
    <t xml:space="preserve">Rules by product/order status. (Roles: Customer, Operator, Admin)</t>
  </si>
  <si>
    <t xml:space="preserve">Ledger + gateway refund.</t>
  </si>
  <si>
    <t xml:space="preserve">Full returns workflow: request (reason, condition, quantity, photos, comments) -&gt; automatic policy validation (window, per-reason policy, evidence, quantity held under an order lock) -&gt; approval -&gt; rider pickup (offer / accept / en route / handover code / failure and bounded re-offer) -&gt; goods received -&gt; inspection -&gt; refund through the existing journaled refundDeliveredOrder, idempotent per return, 13 statuses with history. Customer, shop, operations and rider screens; rider pickup fee credited as an earning</t>
  </si>
  <si>
    <t xml:space="preserve">Gateway refund (money back to card/UPI rather than wallet) Refunds go to the wallet; refunds to card / UPI wait on GS-073 (blocked).</t>
  </si>
  <si>
    <t xml:space="preserve">src/server/services/returns.ts; src/server/services/return-pickups.ts; src/app/returns, /shop/returns, /admin/returns; drizzle/0029</t>
  </si>
  <si>
    <t xml:space="preserve">GS-058</t>
  </si>
  <si>
    <t xml:space="preserve">Dispute management</t>
  </si>
  <si>
    <t xml:space="preserve">Escalate delivery/product/payment disputes. (Roles: All)</t>
  </si>
  <si>
    <t xml:space="preserve">Case lifecycle.</t>
  </si>
  <si>
    <t xml:space="preserve">Dispute case entity (migration 0037): order, raiser, disputed amount, payment-method snapshot; 8 statuses (OPEN, TRIAGED, INVESTIGATING, RESOLUTION_PROPOSED, ESCALATED, RESOLVED, REJECTED, WITHDRAWN) with a transition table; auto-escalation by amount (default Rs 2,000) and age (default 48 h, hourly cron); escalated cases admin-only; refund resolution goes through refundDeliveredOrder with a double-pay guard; customer sees outcome, not working notes; /admin/disputes queue</t>
  </si>
  <si>
    <t xml:space="preserve">Refund to card/UPI (today refunds are wallet credit) - depends on GS-028/GS-073</t>
  </si>
  <si>
    <t xml:space="preserve">src/lib/dispute-states.ts; src/server/services/disputes.ts; src/app/admin/disputes/page.tsx; src/app/api/cron/dispute-escalation/route.ts; drizzle/0037_dispute_cases.sql; tests/integration/disputes.test.ts</t>
  </si>
  <si>
    <t xml:space="preserve">GS-059</t>
  </si>
  <si>
    <t xml:space="preserve">Ratings</t>
  </si>
  <si>
    <t xml:space="preserve">Shop rating</t>
  </si>
  <si>
    <t xml:space="preserve">Rate shop/order. (Roles: Customer)</t>
  </si>
  <si>
    <t xml:space="preserve">Moderation.</t>
  </si>
  <si>
    <t xml:space="preserve">Eligibility, one per order, average, anonymous reviews, moderation</t>
  </si>
  <si>
    <t xml:space="preserve">src/server/services/ratings.ts</t>
  </si>
  <si>
    <t xml:space="preserve">GS-060</t>
  </si>
  <si>
    <t xml:space="preserve">Gig rating</t>
  </si>
  <si>
    <t xml:space="preserve">Rate delivery. (Roles: Customer)</t>
  </si>
  <si>
    <t xml:space="preserve">Quality metrics.</t>
  </si>
  <si>
    <t xml:space="preserve">Rider rating: average visible to rider and operations</t>
  </si>
  <si>
    <t xml:space="preserve">GS-061</t>
  </si>
  <si>
    <t xml:space="preserve">Finance</t>
  </si>
  <si>
    <t xml:space="preserve">Shop commission</t>
  </si>
  <si>
    <t xml:space="preserve">Calculate platform fee/commission. (Roles: Admin, Operator)</t>
  </si>
  <si>
    <t xml:space="preserve">Configurable by category/shop.</t>
  </si>
  <si>
    <t xml:space="preserve">Commission by default / shop type / shop, snapshotted per order</t>
  </si>
  <si>
    <t xml:space="preserve">src/server/services/finance.ts:216</t>
  </si>
  <si>
    <t xml:space="preserve">GS-062</t>
  </si>
  <si>
    <t xml:space="preserve">Shop settlement</t>
  </si>
  <si>
    <t xml:space="preserve">Pay shop after applicable adjustments. (Roles: Admin, Operator, Shop)</t>
  </si>
  <si>
    <t xml:space="preserve">Settlement ledger.</t>
  </si>
  <si>
    <t xml:space="preserve">Weekly shop settlements DRAFT -&gt; APPROVED -&gt; PAID, full lifecycle</t>
  </si>
  <si>
    <t xml:space="preserve">src/app/api/finance/settlements/route.ts</t>
  </si>
  <si>
    <t xml:space="preserve">GS-063</t>
  </si>
  <si>
    <t xml:space="preserve">Gig earnings</t>
  </si>
  <si>
    <t xml:space="preserve">Calculate delivery earnings. (Roles: Gig, Admin)</t>
  </si>
  <si>
    <t xml:space="preserve">Distance/slot/incentive rules.</t>
  </si>
  <si>
    <t xml:space="preserve">Configurable time slots (including overnight, weekdays, validity, priority) each with their own base, per-km, minimum, order component and peak bonus; incentives by order count, daily/weekly target, distance, peak hour and campaign; every earning stores its full breakdown plus append-only ledger lines and idempotent award rows; with no slots configured the result is exactly the old base + per-km; admin screen with a 'try a delivery' calculator. 12 unit tests on the calculation engine</t>
  </si>
  <si>
    <t xml:space="preserve">src/server/services/delivery-earnings.ts; src/app/admin/rider-earnings/page.tsx; drizzle/0028; tests/unit/earnings-calc.test.ts</t>
  </si>
  <si>
    <t xml:space="preserve">GS-064</t>
  </si>
  <si>
    <t xml:space="preserve">Gig payout</t>
  </si>
  <si>
    <t xml:space="preserve">Transfer earnings. (Roles: Admin, Operator, Gig)</t>
  </si>
  <si>
    <t xml:space="preserve">Reconciliation.</t>
  </si>
  <si>
    <t xml:space="preserve">Weekly rider payouts, full lifecycle</t>
  </si>
  <si>
    <t xml:space="preserve">Payouts are recorded and reconciled; the bank transfer itself is manual.</t>
  </si>
  <si>
    <t xml:space="preserve">src/app/api/finance/rider-payouts/route.ts</t>
  </si>
  <si>
    <t xml:space="preserve">GS-065</t>
  </si>
  <si>
    <t xml:space="preserve">Admin</t>
  </si>
  <si>
    <t xml:space="preserve">Global dashboard</t>
  </si>
  <si>
    <t xml:space="preserve">Manage all users, shops, orders, payments and settings. (Roles: Admin)</t>
  </si>
  <si>
    <t xml:space="preserve">Full access.</t>
  </si>
  <si>
    <t xml:space="preserve">getAdminDashboard() + /admin/dashboard: the marketplace's operational picture from live queries - in-flight orders by status, today's money, KPI cards, open risk flags, shops by status. No sample numbers</t>
  </si>
  <si>
    <t xml:space="preserve">src/server/services/dashboards.ts:207; src/app/admin/dashboard/page.tsx</t>
  </si>
  <si>
    <t xml:space="preserve">GS-066</t>
  </si>
  <si>
    <t xml:space="preserve">Operator console</t>
  </si>
  <si>
    <t xml:space="preserve">Onboarding, catalog upload, payments and exceptions. (Roles: Operator)</t>
  </si>
  <si>
    <t xml:space="preserve">Restricted permissions.</t>
  </si>
  <si>
    <t xml:space="preserve">Two exception queues: finance exceptions at /admin/finance/exceptions, and a general operations queue at /admin/exceptions with 12 categories (shop not accepting, shop slow, awaiting substitution, no rider, self-delivery overdue, rider not picked up, stuck after pickup, delivery code locked, failed delivery, returned-no-decision, disputed, past promised time), elapsed-time thresholds, severity and precedence</t>
  </si>
  <si>
    <t xml:space="preserve">src/server/services/ops-exceptions.ts; src/app/admin/exceptions/page.tsx</t>
  </si>
  <si>
    <t xml:space="preserve">GS-067</t>
  </si>
  <si>
    <t xml:space="preserve">Audit logs</t>
  </si>
  <si>
    <t xml:space="preserve">Track critical actions. (Roles: Admin, Auditor)</t>
  </si>
  <si>
    <t xml:space="preserve">Immutable/event log.</t>
  </si>
  <si>
    <t xml:space="preserve">audit_logs append-only, enforced by DB trigger</t>
  </si>
  <si>
    <t xml:space="preserve">Dedicated Auditor role (optional)</t>
  </si>
  <si>
    <t xml:space="preserve">drizzle/0018_audit_logs_append_only.sql; src/server/services/audit.ts</t>
  </si>
  <si>
    <t xml:space="preserve">GS-068</t>
  </si>
  <si>
    <t xml:space="preserve">Fraud/risk rules</t>
  </si>
  <si>
    <t xml:space="preserve">Detect suspicious orders, referrals, payments and accounts. (Roles: Admin, Operator)</t>
  </si>
  <si>
    <t xml:space="preserve">Rules + review queue.</t>
  </si>
  <si>
    <t xml:space="preserve">11 risk rules (customer, rider, shop), hourly cron, review queue /admin/risk; a HIGH customer flag pauses COD</t>
  </si>
  <si>
    <t xml:space="preserve">src/server/services/risk.ts; src/app/admin/risk/page.tsx</t>
  </si>
  <si>
    <t xml:space="preserve">Marketplace KPI dashboard</t>
  </si>
  <si>
    <t xml:space="preserve">GMV, orders, fill rate, delivery time, cancellations, retention. (Roles: Admin, Operator, Shop)</t>
  </si>
  <si>
    <t xml:space="preserve">Role scoped.</t>
  </si>
  <si>
    <t xml:space="preserve">/admin/analytics (marketplace) and /shop/analytics (own shop)</t>
  </si>
  <si>
    <t xml:space="preserve">src/server/services/analytics.ts; src/app/admin/analytics/page.tsx; src/app/api/analytics/kpis/route.ts</t>
  </si>
  <si>
    <t xml:space="preserve">Security</t>
  </si>
  <si>
    <t xml:space="preserve">Privacy/consent management</t>
  </si>
  <si>
    <t xml:space="preserve">Capture marketing and data consents. (Roles: All)</t>
  </si>
  <si>
    <t xml:space="preserve">Consent history.</t>
  </si>
  <si>
    <t xml:space="preserve">Marketing consent grant/withdraw with history; profile toggle; /api/consents/marketing</t>
  </si>
  <si>
    <t xml:space="preserve">src/server/services/consents.ts; src/components/marketing-consent-toggle.tsx</t>
  </si>
  <si>
    <t xml:space="preserve">GS-071</t>
  </si>
  <si>
    <t xml:space="preserve">Data access controls</t>
  </si>
  <si>
    <t xml:space="preserve">Limit sensitive data visibility. (Roles: Admin, Operator)</t>
  </si>
  <si>
    <t xml:space="preserve">Integration</t>
  </si>
  <si>
    <t xml:space="preserve">Maps/navigation</t>
  </si>
  <si>
    <t xml:space="preserve">Distance, routing and ETA. (Roles: Customer, Gig, Shop)</t>
  </si>
  <si>
    <t xml:space="preserve">Provider abstraction.</t>
  </si>
  <si>
    <t xml:space="preserve">Off by default in code - switch on in Admin &gt; Business rules (scripts/enable-new-features.sql does it for test) (rule: routing.enabled)</t>
  </si>
  <si>
    <t xml:space="preserve">F4: road distance and travel time from Google Routes or OSRM behind one provider interface, cached per ~100 m cell and logged; arrival time for customer (tracking map) and rider (dashboard); straight-line fallback when off or failing. Navigation is a Google Maps deep link.</t>
  </si>
  <si>
    <t xml:space="preserve">In-app turn-by-turn navigation not built (Google Maps deep link used instead).</t>
  </si>
  <si>
    <t xml:space="preserve">src/server/services/routing.ts; drizzle/0044_delivery_routes.sql; tests/integration/routing.test.ts</t>
  </si>
  <si>
    <t xml:space="preserve">GS-073</t>
  </si>
  <si>
    <t xml:space="preserve">Payment gateway</t>
  </si>
  <si>
    <t xml:space="preserve">Payment intents, callbacks, refunds. (Roles: System)</t>
  </si>
  <si>
    <t xml:space="preserve">Webhook verification.</t>
  </si>
  <si>
    <t xml:space="preserve">Gateway plumbing reusable; refunds are wallet credits (journaled, idempotent).</t>
  </si>
  <si>
    <t xml:space="preserve">Order payment intents, callbacks and gateway refunds.</t>
  </si>
  <si>
    <t xml:space="preserve">Needs GS-028</t>
  </si>
  <si>
    <t xml:space="preserve">src/server/services/payments.ts</t>
  </si>
  <si>
    <t xml:space="preserve">GS-074</t>
  </si>
  <si>
    <t xml:space="preserve">SMS/WhatsApp/email/push</t>
  </si>
  <si>
    <t xml:space="preserve">Notifications. (Roles: System)</t>
  </si>
  <si>
    <t xml:space="preserve">Email + in-app live (email needs SMTP)</t>
  </si>
  <si>
    <t xml:space="preserve">Email and in-app notifications live; SMS, PUSH and WHATSAPP channels have a provider seam with no vendor.</t>
  </si>
  <si>
    <t xml:space="preserve">Real SMS / push / WhatsApp providers.</t>
  </si>
  <si>
    <t xml:space="preserve">D2 - vendor choice (DLT registration)</t>
  </si>
  <si>
    <t xml:space="preserve">src/server/notifications/channels.ts</t>
  </si>
  <si>
    <t xml:space="preserve">WF-001</t>
  </si>
  <si>
    <t xml:space="preserve">Customer product purchase</t>
  </si>
  <si>
    <t xml:space="preserve">n/a</t>
  </si>
  <si>
    <t xml:space="preserve">Trigger: Customer selects product. Steps: Location → Search product → View all eligible shops → Compare price → Select shop → Cart → Address → Slot → Payment → Order created</t>
  </si>
  <si>
    <t xml:space="preserve">Exception: Out of stock/service unavailable → alternate shop/substitution. Output: Shop fulfillment order</t>
  </si>
  <si>
    <t xml:space="preserve">Every step works: location, search, eligible shops, comparison, cart, address, slot, payment by wallet or COD, order created; out-of-stock substitution; closed-shop confirmation.</t>
  </si>
  <si>
    <t xml:space="preserve">Direct online payment for the order.</t>
  </si>
  <si>
    <t xml:space="preserve">src/server/services/orders.ts#checkout</t>
  </si>
  <si>
    <t xml:space="preserve">WF-002</t>
  </si>
  <si>
    <t xml:space="preserve">Shop</t>
  </si>
  <si>
    <t xml:space="preserve">Shop fulfillment</t>
  </si>
  <si>
    <t xml:space="preserve">Trigger: New order received. Steps: Notify → Accept → Check stock → Substitute/reject items if needed → Pick → Pack → Ready</t>
  </si>
  <si>
    <t xml:space="preserve">Exception: Timeout/reject → operations escalation. Output: Ready for pickup</t>
  </si>
  <si>
    <t xml:space="preserve">Notify -&gt; accept -&gt; stock check -&gt; substitute/remove -&gt; pick -&gt; pack -&gt; READY</t>
  </si>
  <si>
    <t xml:space="preserve">WF-003</t>
  </si>
  <si>
    <t xml:space="preserve">System</t>
  </si>
  <si>
    <t xml:space="preserve">Trigger: Shop marks READY. Steps: Find eligible workers → society whitelist check → calculate priority → score ETA/distance/load → offer job → accept</t>
  </si>
  <si>
    <t xml:space="preserve">Exception: No acceptance → widen radius/escalate. Output: Assigned</t>
  </si>
  <si>
    <t xml:space="preserve">Auto-trigger, whitelist filter, priority, reliability, fairness, escalation, bounded retry with a full attempt log</t>
  </si>
  <si>
    <t xml:space="preserve">Load batching tracked under GA-005 Offers go to one rider at a time (2-min expiry); no radius widening.</t>
  </si>
  <si>
    <t xml:space="preserve">WF-004</t>
  </si>
  <si>
    <t xml:space="preserve">System/Society</t>
  </si>
  <si>
    <t xml:space="preserve">Society authorized delivery</t>
  </si>
  <si>
    <t xml:space="preserve">Trigger: Order destination is society. Steps: Identify society → load active whitelist → filter/priority workers → notify security if enabled</t>
  </si>
  <si>
    <t xml:space="preserve">Exception: No authorized worker → fallback policy or operations review. Output: Assigned to eligible worker</t>
  </si>
  <si>
    <t xml:space="preserve">Identify society -&gt; rider list -&gt; filter/priority -&gt; security alert; Phase C added gate entry mode and the security-desk contact</t>
  </si>
  <si>
    <t xml:space="preserve">src/server/services/delivery-assignment.ts; src/server/services/societies.ts</t>
  </si>
  <si>
    <t xml:space="preserve">WF-005</t>
  </si>
  <si>
    <t xml:space="preserve">Gig</t>
  </si>
  <si>
    <t xml:space="preserve">Trigger: Job accepted. Steps: Navigate to shop → Pickup OTP/QR → transport → society access → customer OTP/POD → Delivered</t>
  </si>
  <si>
    <t xml:space="preserve">Exception: Customer unavailable → retry/return workflow. Output: Delivered or Failed</t>
  </si>
  <si>
    <t xml:space="preserve">Pickup code -&gt; OTP -&gt; delivered; failed -&gt; returned; society access notes; Phase C added 'arrived at shop' / 'arrived at customer' checkpoints with notifications, navigation deep links and rider-side privacy</t>
  </si>
  <si>
    <t xml:space="preserve">In-app turn-by-turn navigation (deep link to Google Maps instead)</t>
  </si>
  <si>
    <t xml:space="preserve">src/server/services/delivery-assignment.ts:599; src/components/delivery-partner-dashboard.tsx:634-667</t>
  </si>
  <si>
    <t xml:space="preserve">Customer/System</t>
  </si>
  <si>
    <t xml:space="preserve">Trigger: Scheduled cycle. Steps: Check subscription → check payment → generate order → route to shop → fulfillment → gig assignment → delivery</t>
  </si>
  <si>
    <t xml:space="preserve">Exception: Payment failed / shop unavailable → retry or exception. Output: Cycle completed</t>
  </si>
  <si>
    <t xml:space="preserve">Subscription orders carry address/society -&gt; fulfilment -&gt; dispatch -&gt; settlement</t>
  </si>
  <si>
    <t xml:space="preserve">WF-007</t>
  </si>
  <si>
    <t xml:space="preserve">Customer/Operator</t>
  </si>
  <si>
    <t xml:space="preserve">Return/refund</t>
  </si>
  <si>
    <t xml:space="preserve">Trigger: Issue reported. Steps: Validate policy → collect evidence → approve/refuse → pickup/replacement/refund → ledger update</t>
  </si>
  <si>
    <t xml:space="preserve">Exception: Dispute → escalation. Output: Closed case</t>
  </si>
  <si>
    <t xml:space="preserve">Report -&gt; return request -&gt; validation -&gt; approval -&gt; rider pickup -&gt; inspection -&gt; refund, end to end, with who bears the cost configurable per reason</t>
  </si>
  <si>
    <t xml:space="preserve">Replacement instead of refund</t>
  </si>
  <si>
    <t xml:space="preserve">src/server/services/returns.ts; src/server/services/return-pickups.ts</t>
  </si>
  <si>
    <t xml:space="preserve">WF-008</t>
  </si>
  <si>
    <t xml:space="preserve">Shop/Operator</t>
  </si>
  <si>
    <t xml:space="preserve">Shop onboarding</t>
  </si>
  <si>
    <t xml:space="preserve">Trigger: Registration submitted. Steps: Capture business/KYC → document verification → payment reference → catalog → service area → approval</t>
  </si>
  <si>
    <t xml:space="preserve">Exception: Missing/invalid docs → correction queue. Output: Shop Live / Rejected</t>
  </si>
  <si>
    <t xml:space="preserve">Registration with categories, PAN/Udyam/GST/Shop Act IDs (at least one), duplicate guard; seller document verification with rejection reasons the seller sees (correction loop); registration-fee gate before approval; service area (radius + PIN zones + minimum order + pause); category fill of the catalogue; approval.</t>
  </si>
  <si>
    <t xml:space="preserve">Approval is not blocked on verified documents - admins see the verification status and decide (documented design choice).</t>
  </si>
  <si>
    <t xml:space="preserve">src/server/services/shops.ts; src/server/services/seller-verification.ts; docs/seller-verification/README.md</t>
  </si>
  <si>
    <t xml:space="preserve">WF-009</t>
  </si>
  <si>
    <t xml:space="preserve">Marketing campaign</t>
  </si>
  <si>
    <t xml:space="preserve">Trigger: Owner creates campaign. Steps: Select audience → consent check → budget/rate limit → approval if required → send → track</t>
  </si>
  <si>
    <t xml:space="preserve">Exception: Opt-out/bounce/fraud → suppress. Output: Campaign report</t>
  </si>
  <si>
    <t xml:space="preserve">Audience -&gt; consent -&gt; budget -&gt; operations approval -&gt; send -&gt; tracking (opened, converted, revenue)</t>
  </si>
  <si>
    <t xml:space="preserve">src/app/api/admin/campaigns/route.ts</t>
  </si>
  <si>
    <t xml:space="preserve">WF-010</t>
  </si>
  <si>
    <t xml:space="preserve">System/Finance</t>
  </si>
  <si>
    <t xml:space="preserve">Settlement</t>
  </si>
  <si>
    <t xml:space="preserve">Trigger: Settlement cycle. Steps: Calculate GMV → commission → delivery charges → refunds → adjustments → shop payout → gig payout → reconcile</t>
  </si>
  <si>
    <t xml:space="preserve">Exception: Mismatch → finance exception queue. Output: Settled</t>
  </si>
  <si>
    <t xml:space="preserve">GMV -&gt; commission -&gt; refunds -&gt; adjustments -&gt; settlement -&gt; payout -&gt; reconciliation</t>
  </si>
  <si>
    <t xml:space="preserve">src/server/services/finance.ts</t>
  </si>
  <si>
    <t xml:space="preserve">RBAC-001</t>
  </si>
  <si>
    <t xml:space="preserve">Browse/search</t>
  </si>
  <si>
    <t xml:space="preserve">Customer: Y; Shop Owner: Y; Gig Worker: Y; Society Admin: Y; Operator: Y; Admin: Y</t>
  </si>
  <si>
    <t xml:space="preserve">RBAC-002</t>
  </si>
  <si>
    <t xml:space="preserve">Place order</t>
  </si>
  <si>
    <t xml:space="preserve">Customer: Y; Shop Owner: N; Gig Worker: N; Society Admin: N; Operator: N; Admin: Y</t>
  </si>
  <si>
    <t xml:space="preserve">Personal orders for every role; B2B a separate flow (order_type PERSONAL/B2B, buyer_shop_id, ORDER_PLACE_B2B)</t>
  </si>
  <si>
    <t xml:space="preserve">src/server/db/schema.ts (orderTypeEnum); src/server/authz/permissions.ts</t>
  </si>
  <si>
    <t xml:space="preserve">RBAC-003</t>
  </si>
  <si>
    <t xml:space="preserve">Manage own shop</t>
  </si>
  <si>
    <t xml:space="preserve">Customer: N; Shop Owner: Y; Gig Worker: N; Society Admin: N; Operator: Limited; Admin: Y</t>
  </si>
  <si>
    <t xml:space="preserve">UNCLEAR -&gt; BLOCKED</t>
  </si>
  <si>
    <t xml:space="preserve">Shop owners manage their own shop; admins full. No 'Limited' operator scope for shop management.</t>
  </si>
  <si>
    <t xml:space="preserve">Define what an operator may change on a shop, then implement.</t>
  </si>
  <si>
    <t xml:space="preserve">Decision: what 'Limited' means</t>
  </si>
  <si>
    <t xml:space="preserve">src/server/authz/permissions.ts</t>
  </si>
  <si>
    <t xml:space="preserve">RBAC-004</t>
  </si>
  <si>
    <t xml:space="preserve">Manage catalog</t>
  </si>
  <si>
    <t xml:space="preserve">Customer: N; Shop Owner: Y; Gig Worker: N; Society Admin: N; Operator: Y; Admin: Y</t>
  </si>
  <si>
    <t xml:space="preserve">RBAC-005</t>
  </si>
  <si>
    <t xml:space="preserve">Upload product lists</t>
  </si>
  <si>
    <t xml:space="preserve">RBAC-006</t>
  </si>
  <si>
    <t xml:space="preserve">Verify shop</t>
  </si>
  <si>
    <t xml:space="preserve">Customer: N; Shop Owner: N; Gig Worker: N; Society Admin: N; Operator: Y; Admin: Y</t>
  </si>
  <si>
    <t xml:space="preserve">RBAC-007</t>
  </si>
  <si>
    <t xml:space="preserve">Assign delivery</t>
  </si>
  <si>
    <t xml:space="preserve">Customer: N; Shop Owner: N; Gig Worker: Limited; Society Admin: N; Operator: Y; Admin: Y</t>
  </si>
  <si>
    <t xml:space="preserve">Decision taken: shop retry KEPT but bounded and configurable. Assignment is automatic on READY; 'Find rider now' is now a bounded search (rider_searches, dispatch_attempts) with retry interval, attempt cap, total time limit, window expiry and manual cooldown; shop sees status, can retry or stop; every attempt logged; duplicate assignment impossible</t>
  </si>
  <si>
    <t xml:space="preserve">src/server/services/delivery-assignment.ts; src/app/api/orders/[id]/assign/route.ts; drizzle/0027</t>
  </si>
  <si>
    <t xml:space="preserve">RBAC-008</t>
  </si>
  <si>
    <t xml:space="preserve">Manage own availability</t>
  </si>
  <si>
    <t xml:space="preserve">Customer: N; Shop Owner: N; Gig Worker: Y; Society Admin: N; Operator: N; Admin: Y</t>
  </si>
  <si>
    <t xml:space="preserve">RBAC-009</t>
  </si>
  <si>
    <t xml:space="preserve">Whitelist Gig workers</t>
  </si>
  <si>
    <t xml:space="preserve">Customer: N; Shop Owner: N; Gig Worker: N; Society Admin: Y; Operator: N; Admin: Y</t>
  </si>
  <si>
    <t xml:space="preserve">Society-scoped roles; SOCIETY_MANAGE_ANY for platform staff</t>
  </si>
  <si>
    <t xml:space="preserve">RBAC-010</t>
  </si>
  <si>
    <t xml:space="preserve">View all orders</t>
  </si>
  <si>
    <t xml:space="preserve">Customer: Own; Shop Owner: Own shop; Gig Worker: Own jobs; Society Admin: Society scope; Operator: Operational scope; Admin: All</t>
  </si>
  <si>
    <t xml:space="preserve">ORDER_VIEW_OWN / _SHOP / _ANY; society dashboard shows society deliveries without customer PII; operator holds ORDER_VIEW_ANY and now has its own order-monitoring screen with status/shop/date filters</t>
  </si>
  <si>
    <t xml:space="preserve">src/server/authz/permissions.ts:284-306; src/app/admin/orders/page.tsx; src/components/order-monitoring-table.tsx</t>
  </si>
  <si>
    <t xml:space="preserve">RBAC-011</t>
  </si>
  <si>
    <t xml:space="preserve">Refund approval</t>
  </si>
  <si>
    <t xml:space="preserve">Customer: Request; Shop Owner: Request; Gig Worker: N; Society Admin: N; Operator: Y; Admin: Y</t>
  </si>
  <si>
    <t xml:space="preserve">ORDER_REFUND for operator/admin</t>
  </si>
  <si>
    <t xml:space="preserve">RBAC-012</t>
  </si>
  <si>
    <t xml:space="preserve">Customer: Own statements; Shop Owner: Own earnings; Gig Worker: Own earnings; Society Admin: N; Operator: Y; Admin: Y</t>
  </si>
  <si>
    <t xml:space="preserve">Settlement visibility per role; operator exceptions-only view</t>
  </si>
  <si>
    <t xml:space="preserve">RBAC-013</t>
  </si>
  <si>
    <t xml:space="preserve">Manage users/roles</t>
  </si>
  <si>
    <t xml:space="preserve">Customer: N; Shop Owner: N; Gig Worker: N; Society Admin: N; Operator: Limited; Admin: Y</t>
  </si>
  <si>
    <t xml:space="preserve">RBAC-014</t>
  </si>
  <si>
    <t xml:space="preserve">System configuration</t>
  </si>
  <si>
    <t xml:space="preserve">Extended by NEW-001 (business-rules console, Phase A-J)</t>
  </si>
  <si>
    <t xml:space="preserve">RBAC-015</t>
  </si>
  <si>
    <t xml:space="preserve">Order</t>
  </si>
  <si>
    <t xml:space="preserve">Order state machine</t>
  </si>
  <si>
    <t xml:space="preserve">States: DRAFT → PAYMENT_PENDING → PAID → SHOP_PENDING → ACCEPTED → PREPARING → READY → ASSIGNED → PICKED_UP → OUT_FOR_DELIVERY → DELIVERED</t>
  </si>
  <si>
    <t xml:space="preserve">Transitions: Each transition event logged. Exceptions: CANCELLED, FAILED, RETURNED, REFUNDED, DISPUTED</t>
  </si>
  <si>
    <t xml:space="preserve">ACCEPTED, ASSIGNED, PICKED_UP, FAILED, RETURNED, DISPUTED added; full transition table + history + audit</t>
  </si>
  <si>
    <t xml:space="preserve">src/server/db/schema.ts:123 (orderStatusEnum)</t>
  </si>
  <si>
    <t xml:space="preserve">SM-002</t>
  </si>
  <si>
    <t xml:space="preserve">Shop state machine</t>
  </si>
  <si>
    <t xml:space="preserve">States: APPLIED → KYC_PENDING → PAYMENT_PENDING → VERIFIED → ACTIVE → SUSPENDED → CLOSED</t>
  </si>
  <si>
    <t xml:space="preserve">Transitions: Operator/admin approval. Exceptions: REJECTED</t>
  </si>
  <si>
    <t xml:space="preserve">Live once migration 0042 is applied</t>
  </si>
  <si>
    <t xml:space="preserve">F1: shop lifecycle PENDING / ACTIVE / PAUSED / SUSPENDED / REJECTED / CLOSED derived by trigger, transitions enforced and logged; suspension policy with impact preview; KYC status per document (seller verification) and registration-fee status exist as separate fields.</t>
  </si>
  <si>
    <t xml:space="preserve">APPLIED -&gt; KYC_PENDING -&gt; PAYMENT_PENDING -&gt; VERIFIED are all one PENDING stage; show them as lifecycle stages (the data already exists).</t>
  </si>
  <si>
    <t xml:space="preserve">src/lib/status-models.ts; drizzle/0042_status_models.sql</t>
  </si>
  <si>
    <t xml:space="preserve">SM-003</t>
  </si>
  <si>
    <t xml:space="preserve">Gig state machine</t>
  </si>
  <si>
    <t xml:space="preserve">States: APPLIED → KYC_PENDING → VERIFIED → ACTIVE → ONLINE → ASSIGNED → PICKED_UP → DELIVERING → COMPLETED</t>
  </si>
  <si>
    <t xml:space="preserve">Transitions: Availability + assignment events. Exceptions: SUSPENDED, BLOCKED</t>
  </si>
  <si>
    <t xml:space="preserve">Live once migration 0042 is applied (statusModels.enforceTransitions = true)</t>
  </si>
  <si>
    <t xml:space="preserve">F1: rider lifecycle ONBOARDING / OFFLINE / AVAILABLE / BUSY / ON_DELIVERY / SUSPENDED / REJECTED / INACTIVE, derived from the existing columns by a database trigger; transitions enforced in the database and every change logged with its actor (status_changes, /admin/status-changes).</t>
  </si>
  <si>
    <t xml:space="preserve">Mapping, not new enum values: APPLIED + KYC_PENDING = ONBOARDING (detail kept in REGISTERED / UNDER_REVIEW), ONLINE = AVAILABLE, ASSIGNED = BUSY, PICKED_UP / DELIVERING = ON_DELIVERY, BLOCKED = SUSPENDED.</t>
  </si>
  <si>
    <t xml:space="preserve">src/lib/status-models.ts; drizzle/0042_status_models.sql; tests/integration/status-models.test.ts</t>
  </si>
  <si>
    <t xml:space="preserve">SM-004</t>
  </si>
  <si>
    <t xml:space="preserve">Subscription state machine</t>
  </si>
  <si>
    <t xml:space="preserve">States: DRAFT → ACTIVE → PAUSED → SKIPPED → RENEWAL_PENDING → ORDER_CREATED → FULFILLED</t>
  </si>
  <si>
    <t xml:space="preserve">Transitions: Cycle-based. Exceptions: PAYMENT_FAILED, CANCELLED</t>
  </si>
  <si>
    <t xml:space="preserve">F1: subscription lifecycle ACTIVE / PAUSED / CANCELLED / EXPIRED with enforced, logged transitions; PAYMENT_PENDING and per-date skips in the detailed status; subscription_events history.</t>
  </si>
  <si>
    <t xml:space="preserve">DRAFT, RENEWAL_PENDING and per-cycle ORDER_CREATED / FULFILLED stages; SKIPPED and PAYMENT_FAILED as named lifecycle states.</t>
  </si>
  <si>
    <t xml:space="preserve">src/lib/status-models.ts; src/server/services/subscriptions.ts</t>
  </si>
  <si>
    <t xml:space="preserve">SM-005</t>
  </si>
  <si>
    <t xml:space="preserve">Payment state machine</t>
  </si>
  <si>
    <t xml:space="preserve">States: INITIATED → AUTHORIZED → CAPTURED → RECONCILED</t>
  </si>
  <si>
    <t xml:space="preserve">Transitions: Gateway webhook drives final state. Exceptions: FAILED, REFUNDED, CHARGEBACK</t>
  </si>
  <si>
    <t xml:space="preserve">Unchanged: payment_status CREATED / PENDING / SUCCESS / FAILED / REFUNDED (wallet top-ups only).</t>
  </si>
  <si>
    <t xml:space="preserve">INITIATED -&gt; AUTHORIZED -&gt; CAPTURED -&gt; RECONCILED; CHARGEBACK.</t>
  </si>
  <si>
    <t xml:space="preserve">Per-order online payment go-ahead (GS-028 / NEW-007)</t>
  </si>
  <si>
    <t xml:space="preserve">src/server/db/schema.ts (paymentStatusEnum)</t>
  </si>
  <si>
    <t xml:space="preserve">SM-006</t>
  </si>
  <si>
    <t xml:space="preserve">Issue</t>
  </si>
  <si>
    <t xml:space="preserve">Issue state machine</t>
  </si>
  <si>
    <t xml:space="preserve">States: OPEN → TRIAGED → INVESTIGATING → RESOLUTION_PROPOSED → RESOLVED → CLOSED</t>
  </si>
  <si>
    <t xml:space="preserve">Transitions: Linked to order/payment. Exceptions: ESCALATED</t>
  </si>
  <si>
    <t xml:space="preserve">Tickets linked to orders; returns 13-status machine; dispute cases have OPEN / TRIAGED / INVESTIGATING / RESOLUTION_PROPOSED / ESCALATED / RESOLVED; grievances still OPEN / IN_PROGRESS / RESOLVED / CLOSED.</t>
  </si>
  <si>
    <t xml:space="preserve">Either add the four states to grievances or accept the dispute lifecycle as the issue state machine.</t>
  </si>
  <si>
    <t xml:space="preserve">Decision: does the dispute lifecycle satisfy SM-006?</t>
  </si>
  <si>
    <t xml:space="preserve">src/server/db/schema.ts (grievanceStatusEnum); src/lib/dispute-states.ts</t>
  </si>
  <si>
    <t xml:space="preserve">GA-001</t>
  </si>
  <si>
    <t xml:space="preserve">Society authorization</t>
  </si>
  <si>
    <t xml:space="preserve">If society has active whitelist, authorized workers receive eligibility/priority; non-authorized workers are excluded when society policy is exclusive.</t>
  </si>
  <si>
    <t xml:space="preserve">Exclusive society -&gt; only listed riders offered</t>
  </si>
  <si>
    <t xml:space="preserve">src/server/services/delivery-assignment.ts:97</t>
  </si>
  <si>
    <t xml:space="preserve">GA-002</t>
  </si>
  <si>
    <t xml:space="preserve">Society preferred partner</t>
  </si>
  <si>
    <t xml:space="preserve">Preferred workers/fleet receive higher priority score.</t>
  </si>
  <si>
    <t xml:space="preserve">Listed / preferred riders ranked first</t>
  </si>
  <si>
    <t xml:space="preserve">src/server/services/delivery-assignment.ts:97-137</t>
  </si>
  <si>
    <t xml:space="preserve">GA-003</t>
  </si>
  <si>
    <t xml:space="preserve">Distance</t>
  </si>
  <si>
    <t xml:space="preserve">Lower estimated travel distance/time improves score.</t>
  </si>
  <si>
    <t xml:space="preserve">GA-004</t>
  </si>
  <si>
    <t xml:space="preserve">Availability</t>
  </si>
  <si>
    <t xml:space="preserve">Only ONLINE and eligible workers considered.</t>
  </si>
  <si>
    <t xml:space="preserve">GA-005</t>
  </si>
  <si>
    <t xml:space="preserve">Current load</t>
  </si>
  <si>
    <t xml:space="preserve">Workers with active jobs receive lower priority unless batching is beneficial.</t>
  </si>
  <si>
    <t xml:space="preserve">Off by default in code - switch on in Admin &gt; Business rules (scripts/enable-new-features.sql does it for test) (rule: dispatch.busyRidersAsFallback)</t>
  </si>
  <si>
    <t xml:space="preserve">F3: riders with active jobs are ranked after free riders (up to maxActiveDeliveriesPerRider, default 2) instead of being excluded.</t>
  </si>
  <si>
    <t xml:space="preserve">Multi-order batching ('unless batching is beneficial') not built.</t>
  </si>
  <si>
    <t xml:space="preserve">src/server/services/delivery-assignment.ts; tests/integration/busy-rider-fallback.test.ts</t>
  </si>
  <si>
    <t xml:space="preserve">Shop readiness</t>
  </si>
  <si>
    <t xml:space="preserve">Assignment begins when order is READY or configurable pre-dispatch threshold is met.</t>
  </si>
  <si>
    <t xml:space="preserve">Rider requested automatically when the shop marks READY</t>
  </si>
  <si>
    <t xml:space="preserve">GA-007</t>
  </si>
  <si>
    <t xml:space="preserve">Reliability</t>
  </si>
  <si>
    <t xml:space="preserve">Historical acceptance, on-time delivery and cancellation metrics may influence score.</t>
  </si>
  <si>
    <t xml:space="preserve">Reliability score (30-day completions vs failures/declines) in ranking</t>
  </si>
  <si>
    <t xml:space="preserve">src/server/services/delivery-assignment.ts:126</t>
  </si>
  <si>
    <t xml:space="preserve">GA-008</t>
  </si>
  <si>
    <t xml:space="preserve">Fairness</t>
  </si>
  <si>
    <t xml:space="preserve">Do not starve eligible workers; apply rotation/cap rules.</t>
  </si>
  <si>
    <t xml:space="preserve">Fairness penalty per offer received today</t>
  </si>
  <si>
    <t xml:space="preserve">src/server/services/delivery-assignment.ts:85</t>
  </si>
  <si>
    <t xml:space="preserve">GA-009</t>
  </si>
  <si>
    <t xml:space="preserve">No worker</t>
  </si>
  <si>
    <t xml:space="preserve">Expand search radius / retry / operations intervention.</t>
  </si>
  <si>
    <t xml:space="preserve">Offers expire after 2 min; auto-retry; shop notified. Phase C added a bounded search with a total time limit, delivery-window expiry, manual cooldown, a stop control and a 'rider assignment failed' notification; 'No rider' is an ops exception</t>
  </si>
  <si>
    <t xml:space="preserve">Radius widening Retry with cron + operations intervention; the search radius is not widened.</t>
  </si>
  <si>
    <t xml:space="preserve">src/server/services/delivery-assignment.ts; src/server/notifications/templates.ts (DELIVERY_SEARCH_STOPPED)</t>
  </si>
  <si>
    <t xml:space="preserve">NAV-001</t>
  </si>
  <si>
    <t xml:space="preserve">Customer portal - Home</t>
  </si>
  <si>
    <t xml:space="preserve">Key screens: Location, Search, Categories, Nearby Shops, Product Comparison</t>
  </si>
  <si>
    <t xml:space="preserve">Off by default in code - switch on in Admin &gt; Business rules (scripts/enable-new-features.sql does it for test) (rule: homePriceComparison.enabled)</t>
  </si>
  <si>
    <t xml:space="preserve">Location picker, shops that deliver to you, featured / Kesari / Green shelves, product-search-first hero, and F9 home-page price comparison across nearby delivering shops (cheapest highlighted, unpriced loose goods skipped).</t>
  </si>
  <si>
    <t xml:space="preserve">The category grid was deliberately removed in favour of search-first; categories are reachable from shops and search.</t>
  </si>
  <si>
    <t xml:space="preserve">src/app/page.tsx; src/server/services/price-comparison.ts; tests/integration/price-comparison.test.ts</t>
  </si>
  <si>
    <t xml:space="preserve">NAV-002</t>
  </si>
  <si>
    <t xml:space="preserve">Customer portal - Shop</t>
  </si>
  <si>
    <t xml:space="preserve">Key screens: Shop profile, catalog, offers, ratings, delivery options</t>
  </si>
  <si>
    <t xml:space="preserve">Off by default in code - switch on in Admin &gt; Business rules (scripts/enable-new-features.sql does it for test) (rule: shopOffers.enabled)</t>
  </si>
  <si>
    <t xml:space="preserve">Shop profile, catalogue, rating + reviews, opening hours, delivery options, and F8 shop offers (product or category, dated) shown on the shop page and priced in cart and checkout.</t>
  </si>
  <si>
    <t xml:space="preserve">src/server/services/shop-offers.ts; src/app/shop/offers; drizzle/0048_shop_offers.sql</t>
  </si>
  <si>
    <t xml:space="preserve">NAV-003</t>
  </si>
  <si>
    <t xml:space="preserve">Customer portal - Cart &amp; Checkout</t>
  </si>
  <si>
    <t xml:space="preserve">Key screens: Cart, address, slot, coupons, payment</t>
  </si>
  <si>
    <t xml:space="preserve">Coupons: Off by default in code - switch on in Admin &gt; Business rules (scripts/enable-new-features.sql does it for test) (rule: coupons.enabled)</t>
  </si>
  <si>
    <t xml:space="preserve">Cart, address re-validation with actions, slot choice with capacity (F5), F7 order-level coupons (flat / %, minimum order, dates, total and per-customer limits, split by goods value, server-validated), F8 offers priced in cart, wallet / COD payment.</t>
  </si>
  <si>
    <t xml:space="preserve">Online payment at checkout.</t>
  </si>
  <si>
    <t xml:space="preserve">src/components/cart-view.tsx; src/server/services/coupons.ts; drizzle/0047_coupons.sql</t>
  </si>
  <si>
    <t xml:space="preserve">NAV-004</t>
  </si>
  <si>
    <t xml:space="preserve">Customer portal - Orders</t>
  </si>
  <si>
    <t xml:space="preserve">Key screens: Active orders, tracking, history, issues, refunds</t>
  </si>
  <si>
    <t xml:space="preserve">Rate an order, report a problem, request a return (/orders/{id}/return, /returns), live tracking panel on in-flight orders, and raise / follow a dispute case</t>
  </si>
  <si>
    <t xml:space="preserve">src/app/orders/page.tsx</t>
  </si>
  <si>
    <t xml:space="preserve">NAV-005</t>
  </si>
  <si>
    <t xml:space="preserve">Customer portal - Subscriptions</t>
  </si>
  <si>
    <t xml:space="preserve">Key screens: Active plans, schedule, skip/pause/resume, payment</t>
  </si>
  <si>
    <t xml:space="preserve">NAV-006</t>
  </si>
  <si>
    <t xml:space="preserve">Shop portal - Dashboard</t>
  </si>
  <si>
    <t xml:space="preserve">Key screens: Sales, orders, inventory alerts, performance</t>
  </si>
  <si>
    <t xml:space="preserve">getShopDashboard(): the operator's day built entirely from live queries - today's orders and money, what needs action, stock alerts, ratings, performance. No sample numbers</t>
  </si>
  <si>
    <t xml:space="preserve">src/server/services/dashboards.ts:63; src/app/shop/page.tsx</t>
  </si>
  <si>
    <t xml:space="preserve">NAV-007</t>
  </si>
  <si>
    <t xml:space="preserve">Shop portal - Catalog</t>
  </si>
  <si>
    <t xml:space="preserve">Key screens: Products, bulk upload, prices, inventory, categories</t>
  </si>
  <si>
    <t xml:space="preserve">NAV-008</t>
  </si>
  <si>
    <t xml:space="preserve">Shop portal - Orders</t>
  </si>
  <si>
    <t xml:space="preserve">Key screens: New, accepted, preparing, ready, completed, cancelled</t>
  </si>
  <si>
    <t xml:space="preserve">NAV-009</t>
  </si>
  <si>
    <t xml:space="preserve">Shop portal - Marketing</t>
  </si>
  <si>
    <t xml:space="preserve">Key screens: Customers, segments, campaigns, vouchers, referrals</t>
  </si>
  <si>
    <t xml:space="preserve">/shop/marketing (customers, segments, campaigns, COD setting)</t>
  </si>
  <si>
    <t xml:space="preserve">src/app/shop/marketing/page.tsx</t>
  </si>
  <si>
    <t xml:space="preserve">NAV-010</t>
  </si>
  <si>
    <t xml:space="preserve">Shop portal - Finance</t>
  </si>
  <si>
    <t xml:space="preserve">Key screens: Commission, invoices, settlements, payouts</t>
  </si>
  <si>
    <t xml:space="preserve">/shop/finance</t>
  </si>
  <si>
    <t xml:space="preserve">Invoices are part of NEW-007 (yet to start).</t>
  </si>
  <si>
    <t xml:space="preserve">src/app/shop/finance/page.tsx</t>
  </si>
  <si>
    <t xml:space="preserve">Gig portal - Jobs</t>
  </si>
  <si>
    <t xml:space="preserve">Key screens: Available, assigned, active, history</t>
  </si>
  <si>
    <t xml:space="preserve">NAV-012</t>
  </si>
  <si>
    <t xml:space="preserve">Gig portal - Earnings</t>
  </si>
  <si>
    <t xml:space="preserve">Key screens: Daily/weekly earnings, incentives, payouts</t>
  </si>
  <si>
    <t xml:space="preserve">Rider earnings with status + payouts list, now with a per-earning breakdown</t>
  </si>
  <si>
    <t xml:space="preserve">src/app/gig/orders/page.tsx; src/app/api/delivery-partner/earnings/route.ts</t>
  </si>
  <si>
    <t xml:space="preserve">NAV-013</t>
  </si>
  <si>
    <t xml:space="preserve">Gig portal - Profile</t>
  </si>
  <si>
    <t xml:space="preserve">Key screens: KYC, vehicle, bank, availability</t>
  </si>
  <si>
    <t xml:space="preserve">F2: rider edits own profile (vehicle, availability details) at /gig/profile; identity and bank changes go to an admin review queue, stored encrypted (/admin/rider-changes).</t>
  </si>
  <si>
    <t xml:space="preserve">src/server/services/rider-profile.ts; drizzle/0043_rider_change_requests.sql; tests/integration/rider-profile.test.ts</t>
  </si>
  <si>
    <t xml:space="preserve">NAV-014</t>
  </si>
  <si>
    <t xml:space="preserve">Society portal - Dashboard</t>
  </si>
  <si>
    <t xml:space="preserve">Key screens: Society profile, rules, authorized workers, deliveries</t>
  </si>
  <si>
    <t xml:space="preserve">/society/{id} dashboard (rules, residents, riders, shops, deliveries)</t>
  </si>
  <si>
    <t xml:space="preserve">src/app/society/[id]/page.tsx</t>
  </si>
  <si>
    <t xml:space="preserve">NAV-015</t>
  </si>
  <si>
    <t xml:space="preserve">Operator</t>
  </si>
  <si>
    <t xml:space="preserve">Operator portal - Operations</t>
  </si>
  <si>
    <t xml:space="preserve">Key screens: Shop onboarding, product uploads, payments, exceptions</t>
  </si>
  <si>
    <t xml:space="preserve">/admin/finance/exceptions and the non-finance /admin/exceptions queue with per-row actions</t>
  </si>
  <si>
    <t xml:space="preserve">src/app/admin/exceptions/page.tsx; src/components/ops-exception-actions.tsx</t>
  </si>
  <si>
    <t xml:space="preserve">NAV-016</t>
  </si>
  <si>
    <t xml:space="preserve">Operator portal - Orders</t>
  </si>
  <si>
    <t xml:space="preserve">Key screens: Order monitoring, reassignment, support</t>
  </si>
  <si>
    <t xml:space="preserve">/admin/orders order-monitoring screen with status, shop and date-range filters, gated on ORDER_VIEW_ANY</t>
  </si>
  <si>
    <t xml:space="preserve">src/app/admin/orders/page.tsx; src/components/order-monitoring-table.tsx</t>
  </si>
  <si>
    <t xml:space="preserve">NAV-017</t>
  </si>
  <si>
    <t xml:space="preserve">Admin portal - Control Tower</t>
  </si>
  <si>
    <t xml:space="preserve">Key screens: All marketplace operations, users, shops, payments, settings</t>
  </si>
  <si>
    <t xml:space="preserve">/admin/dashboard: live operations, in-flight orders, KPIs, risk flags, shop approvals, with links into orders, finance and exceptions</t>
  </si>
  <si>
    <t xml:space="preserve">src/app/admin/dashboard/page.tsx</t>
  </si>
  <si>
    <t xml:space="preserve">NAV-018</t>
  </si>
  <si>
    <t xml:space="preserve">Admin portal - Analytics</t>
  </si>
  <si>
    <t xml:space="preserve">Key screens: GMV, orders, SLA, retention, seller/gig metrics</t>
  </si>
  <si>
    <t xml:space="preserve">/admin/analytics and /shop/analytics</t>
  </si>
  <si>
    <t xml:space="preserve">NAV-019</t>
  </si>
  <si>
    <t xml:space="preserve">Admin portal - Security</t>
  </si>
  <si>
    <t xml:space="preserve">Key screens: RBAC, audit, fraud, consent, configuration</t>
  </si>
  <si>
    <t xml:space="preserve">Fraud side: /admin/risk over 11 risk rules. NEW consent side: /admin/consents behind CONSENT_VIEW (operator + admin) - per-type consent standing vs live policy version, recent grant/withdrawal trail, per-person audited lookup; stored IP never returned</t>
  </si>
  <si>
    <t xml:space="preserve">src/app/admin/consents/page.tsx; src/server/authz/permissions.ts (CONSENT_VIEW); tests/integration/consents.test.ts</t>
  </si>
  <si>
    <t xml:space="preserve">KPI-001</t>
  </si>
  <si>
    <t xml:space="preserve">GMV</t>
  </si>
  <si>
    <t xml:space="preserve">Gross merchandise value of completed/paid orders</t>
  </si>
  <si>
    <t xml:space="preserve">Owner: Admin</t>
  </si>
  <si>
    <t xml:space="preserve">GMV plus a daily GMV trend</t>
  </si>
  <si>
    <t xml:space="preserve">KPI-002</t>
  </si>
  <si>
    <t xml:space="preserve">Order fill rate</t>
  </si>
  <si>
    <t xml:space="preserve">Orders fulfilled without seller rejection/substitution failure</t>
  </si>
  <si>
    <t xml:space="preserve">Owner: Operations</t>
  </si>
  <si>
    <t xml:space="preserve">delivered / placed in window</t>
  </si>
  <si>
    <t xml:space="preserve">KPI-003</t>
  </si>
  <si>
    <t xml:space="preserve">Shop acceptance time</t>
  </si>
  <si>
    <t xml:space="preserve">Time from order creation to shop acceptance</t>
  </si>
  <si>
    <t xml:space="preserve">Owner: Shop/Operations</t>
  </si>
  <si>
    <t xml:space="preserve">duration from placed to accepted</t>
  </si>
  <si>
    <t xml:space="preserve">KPI-004</t>
  </si>
  <si>
    <t xml:space="preserve">Pick-pack time</t>
  </si>
  <si>
    <t xml:space="preserve">Time from acceptance to READY</t>
  </si>
  <si>
    <t xml:space="preserve">Owner: Shop</t>
  </si>
  <si>
    <t xml:space="preserve">duration from accepted to READY</t>
  </si>
  <si>
    <t xml:space="preserve">KPI-005</t>
  </si>
  <si>
    <t xml:space="preserve">Assignment time</t>
  </si>
  <si>
    <t xml:space="preserve">Time from READY to Gig assigned</t>
  </si>
  <si>
    <t xml:space="preserve">Owner: Delivery Ops</t>
  </si>
  <si>
    <t xml:space="preserve">duration from READY to rider accepted</t>
  </si>
  <si>
    <t xml:space="preserve">KPI-006</t>
  </si>
  <si>
    <t xml:space="preserve">Delivery time</t>
  </si>
  <si>
    <t xml:space="preserve">Pickup to delivered duration</t>
  </si>
  <si>
    <t xml:space="preserve">duration from pickup to delivered</t>
  </si>
  <si>
    <t xml:space="preserve">KPI-007</t>
  </si>
  <si>
    <t xml:space="preserve">On-time delivery rate</t>
  </si>
  <si>
    <t xml:space="preserve">Orders delivered within promised window</t>
  </si>
  <si>
    <t xml:space="preserve">delivered within the promised window</t>
  </si>
  <si>
    <t xml:space="preserve">KPI-008</t>
  </si>
  <si>
    <t xml:space="preserve">Cancellation rate</t>
  </si>
  <si>
    <t xml:space="preserve">Cancelled orders / total orders</t>
  </si>
  <si>
    <t xml:space="preserve">cancelled / placed</t>
  </si>
  <si>
    <t xml:space="preserve">KPI-009</t>
  </si>
  <si>
    <t xml:space="preserve">Refund rate</t>
  </si>
  <si>
    <t xml:space="preserve">Refunded order value / GMV</t>
  </si>
  <si>
    <t xml:space="preserve">Owner: Finance</t>
  </si>
  <si>
    <t xml:space="preserve">refund rate by count and by value</t>
  </si>
  <si>
    <t xml:space="preserve">KPI-010</t>
  </si>
  <si>
    <t xml:space="preserve">Customer repeat rate</t>
  </si>
  <si>
    <t xml:space="preserve">Customers ordering again in defined period</t>
  </si>
  <si>
    <t xml:space="preserve">Owner: Growth</t>
  </si>
  <si>
    <t xml:space="preserve">ordering vs repeat vs returning customers</t>
  </si>
  <si>
    <t xml:space="preserve">KPI-011</t>
  </si>
  <si>
    <t xml:space="preserve">Subscription retention</t>
  </si>
  <si>
    <t xml:space="preserve">Active subscriptions retained across cycles</t>
  </si>
  <si>
    <t xml:space="preserve">retained subscriptions period over period</t>
  </si>
  <si>
    <t xml:space="preserve">KPI-012</t>
  </si>
  <si>
    <t xml:space="preserve">Gig acceptance rate</t>
  </si>
  <si>
    <t xml:space="preserve">Accepted jobs / offered jobs</t>
  </si>
  <si>
    <t xml:space="preserve">offers accepted / offers made</t>
  </si>
  <si>
    <t xml:space="preserve">KPI-013</t>
  </si>
  <si>
    <t xml:space="preserve">Gig utilization</t>
  </si>
  <si>
    <t xml:space="preserve">Active delivery time / available time</t>
  </si>
  <si>
    <t xml:space="preserve">active delivery time against availability</t>
  </si>
  <si>
    <t xml:space="preserve">KPI-014</t>
  </si>
  <si>
    <t xml:space="preserve">Shop retention</t>
  </si>
  <si>
    <t xml:space="preserve">Active shops retained across period</t>
  </si>
  <si>
    <t xml:space="preserve">Owner: Marketplace</t>
  </si>
  <si>
    <t xml:space="preserve">shops active last period still active</t>
  </si>
  <si>
    <t xml:space="preserve">KPI-015</t>
  </si>
  <si>
    <t xml:space="preserve">Marketing conversion</t>
  </si>
  <si>
    <t xml:space="preserve">Orders attributable to campaign / recipients</t>
  </si>
  <si>
    <t xml:space="preserve">Owner: Shop/Growth</t>
  </si>
  <si>
    <t xml:space="preserve">Campaign conversion within the attribution window</t>
  </si>
  <si>
    <t xml:space="preserve">src/server/services/analytics.ts</t>
  </si>
  <si>
    <t xml:space="preserve">NEW-001</t>
  </si>
  <si>
    <t xml:space="preserve">Business-rules console (admin-tunable thresholds)</t>
  </si>
  <si>
    <t xml:space="preserve">Not in the target workbook; tracked since the 28 Sep / 3 Oct reports</t>
  </si>
  <si>
    <t xml:space="preserve">platform_settings + /admin/settings: nine rule groups (otp, dispatch, riderEarnings, returns, images, notifications, suspension, mrp, externalPrices) with code defaults, server-side validation and an audit trail. This is what makes 'configurable' true across the other features</t>
  </si>
  <si>
    <t xml:space="preserve">Per-field forms instead of JSON editing</t>
  </si>
  <si>
    <t xml:space="preserve">src/server/config/rules.ts; src/server/services/settings.ts; src/app/admin/settings/page.tsx; drizzle/0025</t>
  </si>
  <si>
    <t xml:space="preserve">NEW-002</t>
  </si>
  <si>
    <t xml:space="preserve">Shop suspension policy, impact preview &amp; review</t>
  </si>
  <si>
    <t xml:space="preserve">Configurable policy per open-order status (cancel &amp; refund / continue / hold for review); impact preview before suspending and an impact list with per-order decisions after; the owner is told reason, time, expected action and impact; new orders stop at once; held orders are neither advanced by the shop nor dispatched; reinstatement. Review queue at /admin/suspensions</t>
  </si>
  <si>
    <t xml:space="preserve">src/server/services/shop-suspension.ts; src/server/services/shop-suspension-guard.ts; src/app/admin/suspensions/page.tsx; drizzle/0031</t>
  </si>
  <si>
    <t xml:space="preserve">NEW-003</t>
  </si>
  <si>
    <t xml:space="preserve">Order placed while the shop is closed</t>
  </si>
  <si>
    <t xml:space="preserve">A customer can choose to order from a closed shop after an explicit confirmation; the order is flagged placed_while_closed, the shop gets an alert at once and a second one when it opens, and the customer is told the shop is closed and told again when it opens. Opening hours are evaluated in IST</t>
  </si>
  <si>
    <t xml:space="preserve">src/server/db/schema.ts:1600,1653; src/server/services/shop-opening.ts; src/server/notifications/templates.ts</t>
  </si>
  <si>
    <t xml:space="preserve">NEW-004</t>
  </si>
  <si>
    <t xml:space="preserve">Rider arrival checkpoints &amp; customer notices</t>
  </si>
  <si>
    <t xml:space="preserve">'Arrived at shop' and 'arrived at customer' checkpoints on the delivery, each with a notification; rider-side privacy (area only until pickup, never the customer's name, phone or handover codes)</t>
  </si>
  <si>
    <t xml:space="preserve">drizzle/0027; src/server/services/delivery-assignment.ts:597-612; src/components/delivery-partner-dashboard.tsx</t>
  </si>
  <si>
    <t xml:space="preserve">NEW-005</t>
  </si>
  <si>
    <t xml:space="preserve">Minimum order value, pause new orders, extra delivery PIN zones</t>
  </si>
  <si>
    <t xml:space="preserve">Per-shop minimum order value (CHECK-constrained), a 'pause new orders' switch and extra delivery PIN codes beyond the radius; serviceability, discovery, cart validation and checkout all honour them</t>
  </si>
  <si>
    <t xml:space="preserve">src/server/db/schema.ts:691-702,875; drizzle/0026</t>
  </si>
  <si>
    <t xml:space="preserve">NEW-006</t>
  </si>
  <si>
    <t xml:space="preserve">D10 cancellation &amp; refund policy (verified)</t>
  </si>
  <si>
    <t xml:space="preserve">Cancellation policy verified against code, history and tests at every stage (CONFIRMED / ACCEPTED / PREPARING / READY / ASSIGNED / PICKED_UP / OUT_FOR_DELIVERY) for customer and shop; two real gaps fixed; retained delivery fee journaled; 13 characterization tests</t>
  </si>
  <si>
    <t xml:space="preserve">Confirm the ACCEPTED/ASSIGNED and PICKED_UP treatments with the business owner</t>
  </si>
  <si>
    <t xml:space="preserve">tests/integration/d10-cancellation-policy.test.ts; docs/gokesari-audit/D10_VERIFICATION.md</t>
  </si>
  <si>
    <t xml:space="preserve">NEW-007</t>
  </si>
  <si>
    <t xml:space="preserve">Direct per-order payments, tax invoicing, photo POD, accept timeout</t>
  </si>
  <si>
    <t xml:space="preserve">Design only (DESIGN_PAYMENTS_INVOICING_POD_SLA.md). Re-checked 6 Oct: no ONLINE payment method, no invoice code, no photo proof of delivery, no accept-timeout auto-cancel.</t>
  </si>
  <si>
    <t xml:space="preserve">Per-order online payment (needs the GS-028 go-ahead); tax invoicing (shop invoices goods, platform invoices its fees); photo proof of delivery; auto-cancel with full refund when a shop does not accept in time. The last three do not depend on the payment decision.</t>
  </si>
  <si>
    <t xml:space="preserve">Go-ahead to build</t>
  </si>
  <si>
    <t xml:space="preserve">docs/gokesari-audit/DESIGN_PAYMENTS_INVOICING_POD_SLA.md</t>
  </si>
  <si>
    <t xml:space="preserve">NEW-008</t>
  </si>
  <si>
    <t xml:space="preserve">Product category master &amp; shop product-category visibility</t>
  </si>
  <si>
    <t xml:space="preserve">product_categories as a master (unique names, permanent General category guarded by trigger); shop_product_categories decides which products a shop sees; removing a category moves products to General; removing it from a shop pauses its listings; screens /product-categories, /product-categories/products, /shop/product-categories, /admin/shops/[id]/product-categories; one-time categorisation script with dry run / apply / restore</t>
  </si>
  <si>
    <t xml:space="preserve">Merge to main (migration renumbering needed - see Risks) Merged to main on 3 Oct (was staging-only in the 3 Oct report).</t>
  </si>
  <si>
    <t xml:space="preserve">staging: drizzle/0038_product_category_management.sql; src/server/services/product-categories.ts; scripts/categorise-products.ts; tests/integration/product-categories.test.ts</t>
  </si>
  <si>
    <t xml:space="preserve">NEW-009</t>
  </si>
  <si>
    <t xml:space="preserve">Explicit Save flow on admin screens (categories, privileges, user profiles)</t>
  </si>
  <si>
    <t xml:space="preserve">Draft + Save Changes bar with dirty tracking, confirm step, unsaved-changes guard; privileges saved in one transaction (no half-applied role changes, last-admin protection, self-change blocked); profile edits limited to name/phone/status; every save audited. Editing moved to /admin/users/[id] and /admin/users/[id]/privileges</t>
  </si>
  <si>
    <t xml:space="preserve">src/components/save-changes-bar.tsx; src/components/admin-privileges-form.tsx; tests/integration/admin-save-flows.test.ts</t>
  </si>
  <si>
    <t xml:space="preserve">NEW-010</t>
  </si>
  <si>
    <t xml:space="preserve">Shop inventory fill when a category is added; per-shop prices</t>
  </si>
  <si>
    <t xml:space="preserve">Not in the target workbook; delivered 3-5 Oct (0e2d77f, 1221420)</t>
  </si>
  <si>
    <t xml:space="preserve">New row</t>
  </si>
  <si>
    <t xml:space="preserve">Adding a category to a shop lists every live product in it with stock 100; packaged goods start at master MRP and on sale, loose goods / no-MRP start unpriced and off sale; owner sees how many need a price and saves prices in bulk (PATCH /api/shops/[id]/prices); buyers see 'Price on request' + 'Ask shop'.</t>
  </si>
  <si>
    <t xml:space="preserve">tests/integration/shop-inventory-fill.test.ts; commits 0e2d77f, 1221420</t>
  </si>
  <si>
    <t xml:space="preserve">What is built</t>
  </si>
  <si>
    <t xml:space="preserve">What changed</t>
  </si>
  <si>
    <t xml:space="preserve">Delivered in</t>
  </si>
  <si>
    <t xml:space="preserve">PR #42/#43 (login rebuild to main)</t>
  </si>
  <si>
    <t xml:space="preserve">Seller verification 0a7fafa, 9cdec04, 896f082</t>
  </si>
  <si>
    <t xml:space="preserve">F10 0c9894f</t>
  </si>
  <si>
    <t xml:space="preserve">Decision / dependency only</t>
  </si>
  <si>
    <t xml:space="preserve">F5 742e6d2</t>
  </si>
  <si>
    <t xml:space="preserve">F6 e95af6f</t>
  </si>
  <si>
    <t xml:space="preserve">F11 db5c400</t>
  </si>
  <si>
    <t xml:space="preserve">F4 e26d9c7</t>
  </si>
  <si>
    <t xml:space="preserve">Seller verification + 135f29a</t>
  </si>
  <si>
    <t xml:space="preserve">F1 142d129</t>
  </si>
  <si>
    <t xml:space="preserve">F3 950f730</t>
  </si>
  <si>
    <t xml:space="preserve">F9 62e53da</t>
  </si>
  <si>
    <t xml:space="preserve">F8 3751c57</t>
  </si>
  <si>
    <t xml:space="preserve">F7 79300d8</t>
  </si>
  <si>
    <t xml:space="preserve">F2 142d129</t>
  </si>
  <si>
    <t xml:space="preserve">Merged to main on 3 Oct (was staging-only in the 3 Oct report).</t>
  </si>
  <si>
    <t xml:space="preserve">0e2d77f, 1221420</t>
  </si>
  <si>
    <t xml:space="preserve">Sign-out button in the header for every profile; owner name on the shop dashboard</t>
  </si>
  <si>
    <t xml:space="preserve">UI polish (2db946b, 8512369).</t>
  </si>
  <si>
    <t xml:space="preserve">Migration number clash main vs staging</t>
  </si>
  <si>
    <t xml:space="preserve">Resolved and merged (PR #42): migrations now run 0037 dispute_cases, 0038 login_profile, 0039 categories ... 0050 customer_referrals.</t>
  </si>
  <si>
    <t xml:space="preserve">Playwright acceptance tests</t>
  </si>
  <si>
    <t xml:space="preserve">Updated to the current sign-in and wallet flows (b65fcec); 10/10 passing per docs/marketplace-features-2026-10/README.md.</t>
  </si>
  <si>
    <t xml:space="preserve">4 Oct</t>
  </si>
  <si>
    <t xml:space="preserve">Type</t>
  </si>
  <si>
    <t xml:space="preserve">Item</t>
  </si>
  <si>
    <t xml:space="preserve">What is needed</t>
  </si>
  <si>
    <t xml:space="preserve">Unblocks</t>
  </si>
  <si>
    <t xml:space="preserve">Status</t>
  </si>
  <si>
    <t xml:space="preserve">Decision</t>
  </si>
  <si>
    <t xml:space="preserve">Per-order online payment (GS-028 / NEW-007)</t>
  </si>
  <si>
    <t xml:space="preserve">Approve building per-order Cashfree payment, OR launch with wallet + COD only.</t>
  </si>
  <si>
    <t xml:space="preserve">GS-028, GS-073, SM-005, NAV-003, WF-001, part of NEW-007</t>
  </si>
  <si>
    <t xml:space="preserve">Pending (no change since 3 Oct)</t>
  </si>
  <si>
    <t xml:space="preserve">Decision / vendor</t>
  </si>
  <si>
    <t xml:space="preserve">D2 - SMS / OTP vendor</t>
  </si>
  <si>
    <t xml:space="preserve">Pick a DLT-registered SMS provider.</t>
  </si>
  <si>
    <t xml:space="preserve">GS-001, GS-074</t>
  </si>
  <si>
    <t xml:space="preserve">Pending</t>
  </si>
  <si>
    <t xml:space="preserve">D7 - external price source</t>
  </si>
  <si>
    <t xml:space="preserve">Approve a lawful / licensed source for customer-visible reference prices.</t>
  </si>
  <si>
    <t xml:space="preserve">GS-023 (one rule flip)</t>
  </si>
  <si>
    <t xml:space="preserve">RBAC-003 - operator 'Limited' shop management</t>
  </si>
  <si>
    <t xml:space="preserve">Define what an operator may change on a shop.</t>
  </si>
  <si>
    <t xml:space="preserve">SM-006 scope</t>
  </si>
  <si>
    <t xml:space="preserve">Accept the dispute lifecycle as the issue state machine, or add its states to grievances.</t>
  </si>
  <si>
    <t xml:space="preserve">NEW-007 go-ahead</t>
  </si>
  <si>
    <t xml:space="preserve">Approve building invoicing, photo POD and accept-timeout (these three do not need the payment decision).</t>
  </si>
  <si>
    <t xml:space="preserve">NEW-007, NAV-010 invoices, GS-034 auto-cancel</t>
  </si>
  <si>
    <t xml:space="preserve">D10 - cancellation policy</t>
  </si>
  <si>
    <t xml:space="preserve">Confirm ACCEPTED / ASSIGNED (customer blocked) and PICKED_UP (goods-only refund).</t>
  </si>
  <si>
    <t xml:space="preserve">NEW-006 sign-off</t>
  </si>
  <si>
    <t xml:space="preserve">Pending (per 3 Oct)</t>
  </si>
  <si>
    <t xml:space="preserve">Switch on F3-F11 in production</t>
  </si>
  <si>
    <t xml:space="preserve">Decide which of the off-by-default features to switch on (Admin &gt; Business rules).</t>
  </si>
  <si>
    <t xml:space="preserve">GA-005, GS-072, GS-027, GS-033, NAV-001/002/003, GS-014, GS-054</t>
  </si>
  <si>
    <t xml:space="preserve">Vendor</t>
  </si>
  <si>
    <t xml:space="preserve">Gridlines (seller verification)</t>
  </si>
  <si>
    <t xml:space="preserve">Sandbox then live keys; written confirmation of FSSAI / GSTIN fields, Shop Act coverage, prices, IP whitelist, retention and DPA.</t>
  </si>
  <si>
    <t xml:space="preserve">Automatic KYC checks for GS-007 (mock vendor until then)</t>
  </si>
  <si>
    <t xml:space="preserve">Legal</t>
  </si>
  <si>
    <t xml:space="preserve">Lawyer / CA confirmation</t>
  </si>
  <si>
    <t xml:space="preserve">Retention period after closure (default 1,095 days) and Shop Act needs for non-MH / home sellers.</t>
  </si>
  <si>
    <t xml:space="preserve">GS-007 compliance</t>
  </si>
  <si>
    <t xml:space="preserve">Go-live blocker</t>
  </si>
  <si>
    <t xml:space="preserve">No browser / QA sign-off</t>
  </si>
  <si>
    <t xml:space="preserve">Nothing since Phase 1 has been signed off in a browser; status is code + automated tests.</t>
  </si>
  <si>
    <t xml:space="preserve">Go-live</t>
  </si>
  <si>
    <t xml:space="preserve">Open</t>
  </si>
  <si>
    <t xml:space="preserve">Production migrations and cron jobs</t>
  </si>
  <si>
    <t xml:space="preserve">Apply migrations up to 0050 and add the seller-verification and dispute-escalation crons (DEPLOY_RUNBOOK.md, docs/seller-verification/DEPLOY.md).</t>
  </si>
  <si>
    <t xml:space="preserve">Everything delivered after Phase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</si>
</sst>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40404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48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</row>
    <row r="7" customFormat="false" ht="15" hidden="false" customHeight="false" outlineLevel="0" collapsed="false">
      <c r="A7" s="5" t="s">
        <v>8</v>
      </c>
      <c r="B7" s="5" t="n">
        <f aca="false">COUNTA('All features'!$J$2:$J$159)-COUNTIF('All features'!$J$2:$J$159,"-")</f>
        <v>157</v>
      </c>
      <c r="C7" s="5" t="n">
        <f aca="false">COUNTA('All features'!$K$2:$K$159)</f>
        <v>158</v>
      </c>
      <c r="D7" s="5" t="n">
        <f aca="false">C7-B7</f>
        <v>1</v>
      </c>
    </row>
    <row r="8" customFormat="false" ht="15" hidden="false" customHeight="false" outlineLevel="0" collapsed="false">
      <c r="A8" s="6" t="s">
        <v>9</v>
      </c>
      <c r="B8" s="5" t="n">
        <f aca="false">COUNTIF('All features'!$J$2:$J$159,"COMPLETED")</f>
        <v>132</v>
      </c>
      <c r="C8" s="5" t="n">
        <f aca="false">COUNTIF('All features'!$K$2:$K$159,"COMPLETED")</f>
        <v>143</v>
      </c>
      <c r="D8" s="5" t="n">
        <f aca="false">C8-B8</f>
        <v>11</v>
      </c>
    </row>
    <row r="9" customFormat="false" ht="15" hidden="false" customHeight="false" outlineLevel="0" collapsed="false">
      <c r="A9" s="7" t="s">
        <v>10</v>
      </c>
      <c r="B9" s="5" t="n">
        <f aca="false">COUNTIF('All features'!$J$2:$J$159,"IN PROGRESS")</f>
        <v>23</v>
      </c>
      <c r="C9" s="5" t="n">
        <f aca="false">COUNTIF('All features'!$K$2:$K$159,"IN PROGRESS")</f>
        <v>4</v>
      </c>
      <c r="D9" s="5" t="n">
        <f aca="false">C9-B9</f>
        <v>-19</v>
      </c>
    </row>
    <row r="10" customFormat="false" ht="15" hidden="false" customHeight="false" outlineLevel="0" collapsed="false">
      <c r="A10" s="8" t="s">
        <v>11</v>
      </c>
      <c r="B10" s="5" t="n">
        <f aca="false">COUNTIF('All features'!$J$2:$J$159,"BLOCKED")</f>
        <v>0</v>
      </c>
      <c r="C10" s="5" t="n">
        <f aca="false">COUNTIF('All features'!$K$2:$K$159,"BLOCKED")</f>
        <v>10</v>
      </c>
      <c r="D10" s="5" t="n">
        <f aca="false">C10-B10</f>
        <v>10</v>
      </c>
    </row>
    <row r="11" customFormat="false" ht="15" hidden="false" customHeight="false" outlineLevel="0" collapsed="false">
      <c r="A11" s="9" t="s">
        <v>12</v>
      </c>
      <c r="B11" s="5" t="n">
        <f aca="false">COUNTIF('All features'!$J$2:$J$159,"YET TO START")</f>
        <v>1</v>
      </c>
      <c r="C11" s="5" t="n">
        <f aca="false">COUNTIF('All features'!$K$2:$K$159,"YET TO START")</f>
        <v>1</v>
      </c>
      <c r="D11" s="5" t="n">
        <f aca="false">C11-B11</f>
        <v>0</v>
      </c>
    </row>
    <row r="12" customFormat="false" ht="15" hidden="false" customHeight="false" outlineLevel="0" collapsed="false">
      <c r="A12" s="5" t="s">
        <v>13</v>
      </c>
      <c r="B12" s="5" t="n">
        <f aca="false">COUNTIF('All features'!$J$2:$J$159,"UNCLEAR")</f>
        <v>1</v>
      </c>
      <c r="C12" s="5" t="n">
        <f aca="false">COUNTIF('All features'!$K$2:$K$159,"UNCLEAR")</f>
        <v>0</v>
      </c>
      <c r="D12" s="5" t="n">
        <f aca="false">C12-B12</f>
        <v>-1</v>
      </c>
    </row>
    <row r="13" customFormat="false" ht="15" hidden="false" customHeight="false" outlineLevel="0" collapsed="false">
      <c r="A13" s="5" t="s">
        <v>14</v>
      </c>
      <c r="B13" s="10" t="n">
        <f aca="false">IFERROR(B8/B7,0)</f>
        <v>0.840764331210191</v>
      </c>
      <c r="C13" s="10" t="n">
        <f aca="false">IFERROR(C8/C7,0)</f>
        <v>0.905063291139241</v>
      </c>
      <c r="D13" s="10" t="n">
        <f aca="false">C13-B13</f>
        <v>0.0642989599290494</v>
      </c>
    </row>
    <row r="14" customFormat="false" ht="15" hidden="false" customHeight="false" outlineLevel="0" collapsed="false">
      <c r="A14" s="11" t="s">
        <v>15</v>
      </c>
    </row>
    <row r="16" customFormat="false" ht="23.85" hidden="false" customHeight="false" outlineLevel="0" collapsed="false">
      <c r="A16" s="4" t="s">
        <v>16</v>
      </c>
      <c r="B16" s="4" t="s">
        <v>17</v>
      </c>
      <c r="C16" s="4" t="s">
        <v>9</v>
      </c>
      <c r="D16" s="4" t="s">
        <v>10</v>
      </c>
      <c r="E16" s="4" t="s">
        <v>11</v>
      </c>
      <c r="F16" s="4" t="s">
        <v>12</v>
      </c>
      <c r="G16" s="4" t="s">
        <v>14</v>
      </c>
    </row>
    <row r="17" customFormat="false" ht="15" hidden="false" customHeight="false" outlineLevel="0" collapsed="false">
      <c r="A17" s="5" t="s">
        <v>18</v>
      </c>
      <c r="B17" s="5" t="n">
        <f aca="false">COUNTIF('All features'!$B$2:$B$159,A17)</f>
        <v>74</v>
      </c>
      <c r="C17" s="5" t="n">
        <f aca="false">COUNTIFS('All features'!$B$2:$B$159,$A17,'All features'!$K$2:$K$159,"COMPLETED")</f>
        <v>68</v>
      </c>
      <c r="D17" s="5" t="n">
        <f aca="false">COUNTIFS('All features'!$B$2:$B$159,$A17,'All features'!$K$2:$K$159,"IN PROGRESS")</f>
        <v>1</v>
      </c>
      <c r="E17" s="5" t="n">
        <f aca="false">COUNTIFS('All features'!$B$2:$B$159,$A17,'All features'!$K$2:$K$159,"BLOCKED")</f>
        <v>5</v>
      </c>
      <c r="F17" s="5" t="n">
        <f aca="false">COUNTIFS('All features'!$B$2:$B$159,$A17,'All features'!$K$2:$K$159,"YET TO START")</f>
        <v>0</v>
      </c>
      <c r="G17" s="10" t="n">
        <f aca="false">IFERROR(C17/B17,0)</f>
        <v>0.918918918918919</v>
      </c>
    </row>
    <row r="18" customFormat="false" ht="15" hidden="false" customHeight="false" outlineLevel="0" collapsed="false">
      <c r="A18" s="5" t="s">
        <v>19</v>
      </c>
      <c r="B18" s="5" t="n">
        <f aca="false">COUNTIF('All features'!$B$2:$B$159,A18)</f>
        <v>10</v>
      </c>
      <c r="C18" s="5" t="n">
        <f aca="false">COUNTIFS('All features'!$B$2:$B$159,$A18,'All features'!$K$2:$K$159,"COMPLETED")</f>
        <v>9</v>
      </c>
      <c r="D18" s="5" t="n">
        <f aca="false">COUNTIFS('All features'!$B$2:$B$159,$A18,'All features'!$K$2:$K$159,"IN PROGRESS")</f>
        <v>0</v>
      </c>
      <c r="E18" s="5" t="n">
        <f aca="false">COUNTIFS('All features'!$B$2:$B$159,$A18,'All features'!$K$2:$K$159,"BLOCKED")</f>
        <v>1</v>
      </c>
      <c r="F18" s="5" t="n">
        <f aca="false">COUNTIFS('All features'!$B$2:$B$159,$A18,'All features'!$K$2:$K$159,"YET TO START")</f>
        <v>0</v>
      </c>
      <c r="G18" s="10" t="n">
        <f aca="false">IFERROR(C18/B18,0)</f>
        <v>0.9</v>
      </c>
    </row>
    <row r="19" customFormat="false" ht="15" hidden="false" customHeight="false" outlineLevel="0" collapsed="false">
      <c r="A19" s="5" t="s">
        <v>20</v>
      </c>
      <c r="B19" s="5" t="n">
        <f aca="false">COUNTIF('All features'!$B$2:$B$159,A19)</f>
        <v>15</v>
      </c>
      <c r="C19" s="5" t="n">
        <f aca="false">COUNTIFS('All features'!$B$2:$B$159,$A19,'All features'!$K$2:$K$159,"COMPLETED")</f>
        <v>14</v>
      </c>
      <c r="D19" s="5" t="n">
        <f aca="false">COUNTIFS('All features'!$B$2:$B$159,$A19,'All features'!$K$2:$K$159,"IN PROGRESS")</f>
        <v>0</v>
      </c>
      <c r="E19" s="5" t="n">
        <f aca="false">COUNTIFS('All features'!$B$2:$B$159,$A19,'All features'!$K$2:$K$159,"BLOCKED")</f>
        <v>1</v>
      </c>
      <c r="F19" s="5" t="n">
        <f aca="false">COUNTIFS('All features'!$B$2:$B$159,$A19,'All features'!$K$2:$K$159,"YET TO START")</f>
        <v>0</v>
      </c>
      <c r="G19" s="10" t="n">
        <f aca="false">IFERROR(C19/B19,0)</f>
        <v>0.933333333333333</v>
      </c>
    </row>
    <row r="20" customFormat="false" ht="15" hidden="false" customHeight="false" outlineLevel="0" collapsed="false">
      <c r="A20" s="5" t="s">
        <v>21</v>
      </c>
      <c r="B20" s="5" t="n">
        <f aca="false">COUNTIF('All features'!$B$2:$B$159,A20)</f>
        <v>6</v>
      </c>
      <c r="C20" s="5" t="n">
        <f aca="false">COUNTIFS('All features'!$B$2:$B$159,$A20,'All features'!$K$2:$K$159,"COMPLETED")</f>
        <v>2</v>
      </c>
      <c r="D20" s="5" t="n">
        <f aca="false">COUNTIFS('All features'!$B$2:$B$159,$A20,'All features'!$K$2:$K$159,"IN PROGRESS")</f>
        <v>2</v>
      </c>
      <c r="E20" s="5" t="n">
        <f aca="false">COUNTIFS('All features'!$B$2:$B$159,$A20,'All features'!$K$2:$K$159,"BLOCKED")</f>
        <v>2</v>
      </c>
      <c r="F20" s="5" t="n">
        <f aca="false">COUNTIFS('All features'!$B$2:$B$159,$A20,'All features'!$K$2:$K$159,"YET TO START")</f>
        <v>0</v>
      </c>
      <c r="G20" s="10" t="n">
        <f aca="false">IFERROR(C20/B20,0)</f>
        <v>0.333333333333333</v>
      </c>
    </row>
    <row r="21" customFormat="false" ht="15" hidden="false" customHeight="false" outlineLevel="0" collapsed="false">
      <c r="A21" s="5" t="s">
        <v>22</v>
      </c>
      <c r="B21" s="5" t="n">
        <f aca="false">COUNTIF('All features'!$B$2:$B$159,A21)</f>
        <v>9</v>
      </c>
      <c r="C21" s="5" t="n">
        <f aca="false">COUNTIFS('All features'!$B$2:$B$159,$A21,'All features'!$K$2:$K$159,"COMPLETED")</f>
        <v>8</v>
      </c>
      <c r="D21" s="5" t="n">
        <f aca="false">COUNTIFS('All features'!$B$2:$B$159,$A21,'All features'!$K$2:$K$159,"IN PROGRESS")</f>
        <v>1</v>
      </c>
      <c r="E21" s="5" t="n">
        <f aca="false">COUNTIFS('All features'!$B$2:$B$159,$A21,'All features'!$K$2:$K$159,"BLOCKED")</f>
        <v>0</v>
      </c>
      <c r="F21" s="5" t="n">
        <f aca="false">COUNTIFS('All features'!$B$2:$B$159,$A21,'All features'!$K$2:$K$159,"YET TO START")</f>
        <v>0</v>
      </c>
      <c r="G21" s="10" t="n">
        <f aca="false">IFERROR(C21/B21,0)</f>
        <v>0.888888888888889</v>
      </c>
    </row>
    <row r="22" customFormat="false" ht="15" hidden="false" customHeight="false" outlineLevel="0" collapsed="false">
      <c r="A22" s="5" t="s">
        <v>23</v>
      </c>
      <c r="B22" s="5" t="n">
        <f aca="false">COUNTIF('All features'!$B$2:$B$159,A22)</f>
        <v>19</v>
      </c>
      <c r="C22" s="5" t="n">
        <f aca="false">COUNTIFS('All features'!$B$2:$B$159,$A22,'All features'!$K$2:$K$159,"COMPLETED")</f>
        <v>18</v>
      </c>
      <c r="D22" s="5" t="n">
        <f aca="false">COUNTIFS('All features'!$B$2:$B$159,$A22,'All features'!$K$2:$K$159,"IN PROGRESS")</f>
        <v>0</v>
      </c>
      <c r="E22" s="5" t="n">
        <f aca="false">COUNTIFS('All features'!$B$2:$B$159,$A22,'All features'!$K$2:$K$159,"BLOCKED")</f>
        <v>1</v>
      </c>
      <c r="F22" s="5" t="n">
        <f aca="false">COUNTIFS('All features'!$B$2:$B$159,$A22,'All features'!$K$2:$K$159,"YET TO START")</f>
        <v>0</v>
      </c>
      <c r="G22" s="10" t="n">
        <f aca="false">IFERROR(C22/B22,0)</f>
        <v>0.947368421052632</v>
      </c>
    </row>
    <row r="23" customFormat="false" ht="15" hidden="false" customHeight="false" outlineLevel="0" collapsed="false">
      <c r="A23" s="5" t="s">
        <v>24</v>
      </c>
      <c r="B23" s="5" t="n">
        <f aca="false">COUNTIF('All features'!$B$2:$B$159,A23)</f>
        <v>15</v>
      </c>
      <c r="C23" s="5" t="n">
        <f aca="false">COUNTIFS('All features'!$B$2:$B$159,$A23,'All features'!$K$2:$K$159,"COMPLETED")</f>
        <v>15</v>
      </c>
      <c r="D23" s="5" t="n">
        <f aca="false">COUNTIFS('All features'!$B$2:$B$159,$A23,'All features'!$K$2:$K$159,"IN PROGRESS")</f>
        <v>0</v>
      </c>
      <c r="E23" s="5" t="n">
        <f aca="false">COUNTIFS('All features'!$B$2:$B$159,$A23,'All features'!$K$2:$K$159,"BLOCKED")</f>
        <v>0</v>
      </c>
      <c r="F23" s="5" t="n">
        <f aca="false">COUNTIFS('All features'!$B$2:$B$159,$A23,'All features'!$K$2:$K$159,"YET TO START")</f>
        <v>0</v>
      </c>
      <c r="G23" s="10" t="n">
        <f aca="false">IFERROR(C23/B23,0)</f>
        <v>1</v>
      </c>
    </row>
    <row r="24" customFormat="false" ht="15" hidden="false" customHeight="false" outlineLevel="0" collapsed="false">
      <c r="A24" s="5" t="s">
        <v>25</v>
      </c>
      <c r="B24" s="5" t="n">
        <f aca="false">COUNTIF('All features'!$B$2:$B$159,A24)</f>
        <v>10</v>
      </c>
      <c r="C24" s="5" t="n">
        <f aca="false">COUNTIFS('All features'!$B$2:$B$159,$A24,'All features'!$K$2:$K$159,"COMPLETED")</f>
        <v>9</v>
      </c>
      <c r="D24" s="5" t="n">
        <f aca="false">COUNTIFS('All features'!$B$2:$B$159,$A24,'All features'!$K$2:$K$159,"IN PROGRESS")</f>
        <v>0</v>
      </c>
      <c r="E24" s="5" t="n">
        <f aca="false">COUNTIFS('All features'!$B$2:$B$159,$A24,'All features'!$K$2:$K$159,"BLOCKED")</f>
        <v>0</v>
      </c>
      <c r="F24" s="5" t="n">
        <f aca="false">COUNTIFS('All features'!$B$2:$B$159,$A24,'All features'!$K$2:$K$159,"YET TO START")</f>
        <v>1</v>
      </c>
      <c r="G24" s="10" t="n">
        <f aca="false">IFERROR(C24/B24,0)</f>
        <v>0.9</v>
      </c>
    </row>
    <row r="25" customFormat="false" ht="15" hidden="false" customHeight="false" outlineLevel="0" collapsed="false">
      <c r="A25" s="12" t="s">
        <v>26</v>
      </c>
      <c r="B25" s="12" t="n">
        <f aca="false">SUM(B17:B24)</f>
        <v>158</v>
      </c>
      <c r="C25" s="12" t="n">
        <f aca="false">SUM(C17:C24)</f>
        <v>143</v>
      </c>
      <c r="D25" s="12" t="n">
        <f aca="false">SUM(D17:D24)</f>
        <v>4</v>
      </c>
      <c r="E25" s="12" t="n">
        <f aca="false">SUM(E17:E24)</f>
        <v>10</v>
      </c>
      <c r="F25" s="12" t="n">
        <f aca="false">SUM(F17:F24)</f>
        <v>1</v>
      </c>
      <c r="G25" s="13" t="n">
        <f aca="false">IFERROR(C25/B25,0)</f>
        <v>0.905063291139241</v>
      </c>
    </row>
    <row r="27" customFormat="false" ht="15" hidden="false" customHeight="false" outlineLevel="0" collapsed="false">
      <c r="A27" s="4" t="s">
        <v>27</v>
      </c>
      <c r="B27" s="4" t="s">
        <v>28</v>
      </c>
    </row>
    <row r="28" customFormat="false" ht="15" hidden="false" customHeight="false" outlineLevel="0" collapsed="false">
      <c r="A28" s="5" t="s">
        <v>9</v>
      </c>
      <c r="B28" s="5" t="n">
        <f aca="false">COUNTIF('Flow diagram status'!$D$5:$D$52,A28)</f>
        <v>44</v>
      </c>
    </row>
    <row r="29" customFormat="false" ht="15" hidden="false" customHeight="false" outlineLevel="0" collapsed="false">
      <c r="A29" s="5" t="s">
        <v>10</v>
      </c>
      <c r="B29" s="5" t="n">
        <f aca="false">COUNTIF('Flow diagram status'!$D$5:$D$52,A29)</f>
        <v>1</v>
      </c>
    </row>
    <row r="30" customFormat="false" ht="15" hidden="false" customHeight="false" outlineLevel="0" collapsed="false">
      <c r="A30" s="5" t="s">
        <v>11</v>
      </c>
      <c r="B30" s="5" t="n">
        <f aca="false">COUNTIF('Flow diagram status'!$D$5:$D$52,A30)</f>
        <v>3</v>
      </c>
    </row>
    <row r="31" customFormat="false" ht="15" hidden="false" customHeight="false" outlineLevel="0" collapsed="false">
      <c r="A31" s="5" t="s">
        <v>12</v>
      </c>
      <c r="B31" s="5" t="n">
        <f aca="false">COUNTIF('Flow diagram status'!$D$5:$D$52,A31)</f>
        <v>0</v>
      </c>
    </row>
    <row r="32" customFormat="false" ht="15" hidden="false" customHeight="false" outlineLevel="0" collapsed="false">
      <c r="A32" s="5" t="s">
        <v>29</v>
      </c>
      <c r="B32" s="5" t="n">
        <f aca="false">SUM(B28:B31)</f>
        <v>48</v>
      </c>
    </row>
  </sheetData>
  <mergeCells count="3"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6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14" t="s">
        <v>31</v>
      </c>
    </row>
    <row r="4" customFormat="false" ht="15" hidden="false" customHeight="fals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</row>
    <row r="5" customFormat="false" ht="15" hidden="false" customHeight="false" outlineLevel="0" collapsed="false">
      <c r="A5" s="5" t="n">
        <v>1</v>
      </c>
      <c r="B5" s="5" t="s">
        <v>39</v>
      </c>
      <c r="C5" s="5" t="s">
        <v>40</v>
      </c>
      <c r="D5" s="15" t="s">
        <v>9</v>
      </c>
      <c r="E5" s="5" t="s">
        <v>41</v>
      </c>
      <c r="F5" s="5" t="s">
        <v>42</v>
      </c>
      <c r="G5" s="5" t="s">
        <v>43</v>
      </c>
    </row>
    <row r="6" customFormat="false" ht="22.35" hidden="false" customHeight="false" outlineLevel="0" collapsed="false">
      <c r="A6" s="5" t="n">
        <v>2</v>
      </c>
      <c r="B6" s="5" t="s">
        <v>39</v>
      </c>
      <c r="C6" s="5" t="s">
        <v>44</v>
      </c>
      <c r="D6" s="15" t="s">
        <v>9</v>
      </c>
      <c r="E6" s="5" t="s">
        <v>45</v>
      </c>
      <c r="F6" s="5" t="s">
        <v>46</v>
      </c>
      <c r="G6" s="5" t="s">
        <v>43</v>
      </c>
    </row>
    <row r="7" customFormat="false" ht="22.35" hidden="false" customHeight="false" outlineLevel="0" collapsed="false">
      <c r="A7" s="5" t="n">
        <v>3</v>
      </c>
      <c r="B7" s="5" t="s">
        <v>39</v>
      </c>
      <c r="C7" s="5" t="s">
        <v>47</v>
      </c>
      <c r="D7" s="16" t="s">
        <v>11</v>
      </c>
      <c r="E7" s="5" t="s">
        <v>48</v>
      </c>
      <c r="F7" s="5" t="s">
        <v>49</v>
      </c>
      <c r="G7" s="5" t="s">
        <v>50</v>
      </c>
    </row>
    <row r="8" customFormat="false" ht="22.35" hidden="false" customHeight="false" outlineLevel="0" collapsed="false">
      <c r="A8" s="5" t="n">
        <v>4</v>
      </c>
      <c r="B8" s="5" t="s">
        <v>39</v>
      </c>
      <c r="C8" s="5" t="s">
        <v>51</v>
      </c>
      <c r="D8" s="15" t="s">
        <v>9</v>
      </c>
      <c r="E8" s="5" t="s">
        <v>52</v>
      </c>
      <c r="F8" s="5" t="s">
        <v>53</v>
      </c>
      <c r="G8" s="5" t="s">
        <v>43</v>
      </c>
    </row>
    <row r="9" customFormat="false" ht="22.35" hidden="false" customHeight="false" outlineLevel="0" collapsed="false">
      <c r="A9" s="5" t="n">
        <v>5</v>
      </c>
      <c r="B9" s="5" t="s">
        <v>39</v>
      </c>
      <c r="C9" s="5" t="s">
        <v>54</v>
      </c>
      <c r="D9" s="16" t="s">
        <v>11</v>
      </c>
      <c r="E9" s="5" t="s">
        <v>55</v>
      </c>
      <c r="F9" s="5" t="s">
        <v>56</v>
      </c>
      <c r="G9" s="5" t="s">
        <v>57</v>
      </c>
    </row>
    <row r="10" customFormat="false" ht="22.35" hidden="false" customHeight="false" outlineLevel="0" collapsed="false">
      <c r="A10" s="5" t="n">
        <v>6</v>
      </c>
      <c r="B10" s="5" t="s">
        <v>58</v>
      </c>
      <c r="C10" s="5" t="s">
        <v>59</v>
      </c>
      <c r="D10" s="15" t="s">
        <v>9</v>
      </c>
      <c r="E10" s="5" t="s">
        <v>60</v>
      </c>
      <c r="F10" s="5" t="s">
        <v>61</v>
      </c>
      <c r="G10" s="5" t="s">
        <v>43</v>
      </c>
    </row>
    <row r="11" customFormat="false" ht="22.35" hidden="false" customHeight="false" outlineLevel="0" collapsed="false">
      <c r="A11" s="5" t="n">
        <v>7</v>
      </c>
      <c r="B11" s="5" t="s">
        <v>58</v>
      </c>
      <c r="C11" s="5" t="s">
        <v>62</v>
      </c>
      <c r="D11" s="15" t="s">
        <v>9</v>
      </c>
      <c r="E11" s="5" t="s">
        <v>63</v>
      </c>
      <c r="F11" s="5" t="s">
        <v>64</v>
      </c>
      <c r="G11" s="5" t="s">
        <v>43</v>
      </c>
    </row>
    <row r="12" customFormat="false" ht="22.35" hidden="false" customHeight="false" outlineLevel="0" collapsed="false">
      <c r="A12" s="5" t="n">
        <v>8</v>
      </c>
      <c r="B12" s="5" t="s">
        <v>58</v>
      </c>
      <c r="C12" s="5" t="s">
        <v>65</v>
      </c>
      <c r="D12" s="16" t="s">
        <v>11</v>
      </c>
      <c r="E12" s="5" t="s">
        <v>66</v>
      </c>
      <c r="F12" s="5" t="s">
        <v>67</v>
      </c>
      <c r="G12" s="5" t="s">
        <v>68</v>
      </c>
    </row>
    <row r="13" customFormat="false" ht="15" hidden="false" customHeight="false" outlineLevel="0" collapsed="false">
      <c r="A13" s="5" t="n">
        <v>9</v>
      </c>
      <c r="B13" s="5" t="s">
        <v>58</v>
      </c>
      <c r="C13" s="5" t="s">
        <v>69</v>
      </c>
      <c r="D13" s="15" t="s">
        <v>9</v>
      </c>
      <c r="E13" s="5" t="s">
        <v>70</v>
      </c>
      <c r="F13" s="5" t="s">
        <v>71</v>
      </c>
      <c r="G13" s="5" t="s">
        <v>43</v>
      </c>
    </row>
    <row r="14" customFormat="false" ht="15" hidden="false" customHeight="false" outlineLevel="0" collapsed="false">
      <c r="A14" s="5" t="n">
        <v>10</v>
      </c>
      <c r="B14" s="5" t="s">
        <v>72</v>
      </c>
      <c r="C14" s="5" t="s">
        <v>73</v>
      </c>
      <c r="D14" s="15" t="s">
        <v>9</v>
      </c>
      <c r="E14" s="5" t="s">
        <v>74</v>
      </c>
      <c r="F14" s="5" t="s">
        <v>75</v>
      </c>
      <c r="G14" s="5" t="s">
        <v>76</v>
      </c>
    </row>
    <row r="15" customFormat="false" ht="22.35" hidden="false" customHeight="false" outlineLevel="0" collapsed="false">
      <c r="A15" s="5" t="n">
        <v>11</v>
      </c>
      <c r="B15" s="5" t="s">
        <v>72</v>
      </c>
      <c r="C15" s="5" t="s">
        <v>77</v>
      </c>
      <c r="D15" s="15" t="s">
        <v>9</v>
      </c>
      <c r="E15" s="5" t="s">
        <v>78</v>
      </c>
      <c r="F15" s="5" t="s">
        <v>79</v>
      </c>
      <c r="G15" s="5" t="s">
        <v>80</v>
      </c>
    </row>
    <row r="16" customFormat="false" ht="15" hidden="false" customHeight="false" outlineLevel="0" collapsed="false">
      <c r="A16" s="5" t="n">
        <v>12</v>
      </c>
      <c r="B16" s="5" t="s">
        <v>72</v>
      </c>
      <c r="C16" s="5" t="s">
        <v>81</v>
      </c>
      <c r="D16" s="15" t="s">
        <v>9</v>
      </c>
      <c r="E16" s="5" t="s">
        <v>82</v>
      </c>
      <c r="F16" s="5" t="s">
        <v>83</v>
      </c>
      <c r="G16" s="5" t="s">
        <v>43</v>
      </c>
    </row>
    <row r="17" customFormat="false" ht="15" hidden="false" customHeight="false" outlineLevel="0" collapsed="false">
      <c r="A17" s="5" t="n">
        <v>13</v>
      </c>
      <c r="B17" s="5" t="s">
        <v>72</v>
      </c>
      <c r="C17" s="5" t="s">
        <v>84</v>
      </c>
      <c r="D17" s="15" t="s">
        <v>9</v>
      </c>
      <c r="E17" s="5" t="s">
        <v>85</v>
      </c>
      <c r="F17" s="5" t="s">
        <v>86</v>
      </c>
      <c r="G17" s="5" t="s">
        <v>43</v>
      </c>
    </row>
    <row r="18" customFormat="false" ht="15" hidden="false" customHeight="false" outlineLevel="0" collapsed="false">
      <c r="A18" s="5" t="n">
        <v>14</v>
      </c>
      <c r="B18" s="5" t="s">
        <v>87</v>
      </c>
      <c r="C18" s="5" t="s">
        <v>88</v>
      </c>
      <c r="D18" s="15" t="s">
        <v>9</v>
      </c>
      <c r="E18" s="5" t="s">
        <v>89</v>
      </c>
      <c r="F18" s="5" t="s">
        <v>90</v>
      </c>
      <c r="G18" s="5" t="s">
        <v>43</v>
      </c>
    </row>
    <row r="19" customFormat="false" ht="15" hidden="false" customHeight="false" outlineLevel="0" collapsed="false">
      <c r="A19" s="5" t="n">
        <v>15</v>
      </c>
      <c r="B19" s="5" t="s">
        <v>87</v>
      </c>
      <c r="C19" s="5" t="s">
        <v>91</v>
      </c>
      <c r="D19" s="15" t="s">
        <v>9</v>
      </c>
      <c r="E19" s="5" t="s">
        <v>92</v>
      </c>
      <c r="F19" s="5" t="s">
        <v>93</v>
      </c>
      <c r="G19" s="5" t="s">
        <v>43</v>
      </c>
    </row>
    <row r="20" customFormat="false" ht="22.35" hidden="false" customHeight="false" outlineLevel="0" collapsed="false">
      <c r="A20" s="5" t="n">
        <v>16</v>
      </c>
      <c r="B20" s="5" t="s">
        <v>87</v>
      </c>
      <c r="C20" s="5" t="s">
        <v>94</v>
      </c>
      <c r="D20" s="17" t="s">
        <v>10</v>
      </c>
      <c r="E20" s="5" t="s">
        <v>95</v>
      </c>
      <c r="F20" s="5" t="s">
        <v>96</v>
      </c>
      <c r="G20" s="5" t="s">
        <v>97</v>
      </c>
    </row>
    <row r="21" customFormat="false" ht="15" hidden="false" customHeight="false" outlineLevel="0" collapsed="false">
      <c r="A21" s="5" t="n">
        <v>17</v>
      </c>
      <c r="B21" s="5" t="s">
        <v>87</v>
      </c>
      <c r="C21" s="5" t="s">
        <v>98</v>
      </c>
      <c r="D21" s="15" t="s">
        <v>9</v>
      </c>
      <c r="E21" s="5" t="s">
        <v>99</v>
      </c>
      <c r="F21" s="5" t="s">
        <v>100</v>
      </c>
      <c r="G21" s="5" t="s">
        <v>101</v>
      </c>
    </row>
    <row r="22" customFormat="false" ht="15" hidden="false" customHeight="false" outlineLevel="0" collapsed="false">
      <c r="A22" s="5" t="n">
        <v>18</v>
      </c>
      <c r="B22" s="5" t="s">
        <v>102</v>
      </c>
      <c r="C22" s="5" t="s">
        <v>103</v>
      </c>
      <c r="D22" s="15" t="s">
        <v>9</v>
      </c>
      <c r="E22" s="5" t="s">
        <v>104</v>
      </c>
      <c r="F22" s="5" t="s">
        <v>105</v>
      </c>
      <c r="G22" s="5" t="s">
        <v>43</v>
      </c>
    </row>
    <row r="23" customFormat="false" ht="15" hidden="false" customHeight="false" outlineLevel="0" collapsed="false">
      <c r="A23" s="5" t="n">
        <v>19</v>
      </c>
      <c r="B23" s="5" t="s">
        <v>102</v>
      </c>
      <c r="C23" s="5" t="s">
        <v>106</v>
      </c>
      <c r="D23" s="15" t="s">
        <v>9</v>
      </c>
      <c r="E23" s="5" t="s">
        <v>107</v>
      </c>
      <c r="F23" s="5" t="s">
        <v>108</v>
      </c>
      <c r="G23" s="5" t="s">
        <v>109</v>
      </c>
    </row>
    <row r="24" customFormat="false" ht="15" hidden="false" customHeight="false" outlineLevel="0" collapsed="false">
      <c r="A24" s="5" t="n">
        <v>20</v>
      </c>
      <c r="B24" s="5" t="s">
        <v>102</v>
      </c>
      <c r="C24" s="5" t="s">
        <v>110</v>
      </c>
      <c r="D24" s="15" t="s">
        <v>9</v>
      </c>
      <c r="E24" s="5" t="s">
        <v>111</v>
      </c>
      <c r="F24" s="5" t="s">
        <v>112</v>
      </c>
      <c r="G24" s="5" t="s">
        <v>113</v>
      </c>
    </row>
    <row r="25" customFormat="false" ht="15" hidden="false" customHeight="false" outlineLevel="0" collapsed="false">
      <c r="A25" s="5" t="n">
        <v>21</v>
      </c>
      <c r="B25" s="5" t="s">
        <v>102</v>
      </c>
      <c r="C25" s="5" t="s">
        <v>114</v>
      </c>
      <c r="D25" s="15" t="s">
        <v>9</v>
      </c>
      <c r="E25" s="5" t="s">
        <v>115</v>
      </c>
      <c r="F25" s="5" t="s">
        <v>116</v>
      </c>
      <c r="G25" s="5" t="s">
        <v>43</v>
      </c>
    </row>
    <row r="26" customFormat="false" ht="15" hidden="false" customHeight="false" outlineLevel="0" collapsed="false">
      <c r="A26" s="5" t="n">
        <v>22</v>
      </c>
      <c r="B26" s="5" t="s">
        <v>102</v>
      </c>
      <c r="C26" s="5" t="s">
        <v>117</v>
      </c>
      <c r="D26" s="15" t="s">
        <v>9</v>
      </c>
      <c r="E26" s="5" t="s">
        <v>118</v>
      </c>
      <c r="F26" s="5" t="s">
        <v>119</v>
      </c>
      <c r="G26" s="5" t="s">
        <v>120</v>
      </c>
    </row>
    <row r="27" customFormat="false" ht="15" hidden="false" customHeight="false" outlineLevel="0" collapsed="false">
      <c r="A27" s="5" t="n">
        <v>23</v>
      </c>
      <c r="B27" s="5" t="s">
        <v>121</v>
      </c>
      <c r="C27" s="5" t="s">
        <v>122</v>
      </c>
      <c r="D27" s="15" t="s">
        <v>9</v>
      </c>
      <c r="E27" s="5" t="s">
        <v>123</v>
      </c>
      <c r="F27" s="5" t="s">
        <v>124</v>
      </c>
      <c r="G27" s="5" t="s">
        <v>43</v>
      </c>
    </row>
    <row r="28" customFormat="false" ht="15" hidden="false" customHeight="false" outlineLevel="0" collapsed="false">
      <c r="A28" s="5" t="n">
        <v>24</v>
      </c>
      <c r="B28" s="5" t="s">
        <v>121</v>
      </c>
      <c r="C28" s="5" t="s">
        <v>125</v>
      </c>
      <c r="D28" s="15" t="s">
        <v>9</v>
      </c>
      <c r="E28" s="5" t="s">
        <v>126</v>
      </c>
      <c r="F28" s="5" t="s">
        <v>127</v>
      </c>
      <c r="G28" s="5" t="s">
        <v>43</v>
      </c>
    </row>
    <row r="29" customFormat="false" ht="15" hidden="false" customHeight="false" outlineLevel="0" collapsed="false">
      <c r="A29" s="5" t="n">
        <v>25</v>
      </c>
      <c r="B29" s="5" t="s">
        <v>121</v>
      </c>
      <c r="C29" s="5" t="s">
        <v>128</v>
      </c>
      <c r="D29" s="15" t="s">
        <v>9</v>
      </c>
      <c r="E29" s="5" t="s">
        <v>129</v>
      </c>
      <c r="F29" s="5" t="s">
        <v>130</v>
      </c>
      <c r="G29" s="5" t="s">
        <v>43</v>
      </c>
    </row>
    <row r="30" customFormat="false" ht="15" hidden="false" customHeight="false" outlineLevel="0" collapsed="false">
      <c r="A30" s="5" t="n">
        <v>26</v>
      </c>
      <c r="B30" s="5" t="s">
        <v>121</v>
      </c>
      <c r="C30" s="5" t="s">
        <v>131</v>
      </c>
      <c r="D30" s="15" t="s">
        <v>9</v>
      </c>
      <c r="E30" s="5" t="s">
        <v>132</v>
      </c>
      <c r="F30" s="5" t="s">
        <v>133</v>
      </c>
      <c r="G30" s="5" t="s">
        <v>43</v>
      </c>
    </row>
    <row r="31" customFormat="false" ht="15" hidden="false" customHeight="false" outlineLevel="0" collapsed="false">
      <c r="A31" s="5" t="n">
        <v>27</v>
      </c>
      <c r="B31" s="5" t="s">
        <v>134</v>
      </c>
      <c r="C31" s="5" t="s">
        <v>135</v>
      </c>
      <c r="D31" s="15" t="s">
        <v>9</v>
      </c>
      <c r="E31" s="5" t="s">
        <v>136</v>
      </c>
      <c r="F31" s="5" t="s">
        <v>137</v>
      </c>
      <c r="G31" s="5" t="s">
        <v>43</v>
      </c>
    </row>
    <row r="32" customFormat="false" ht="15" hidden="false" customHeight="false" outlineLevel="0" collapsed="false">
      <c r="A32" s="5" t="n">
        <v>28</v>
      </c>
      <c r="B32" s="5" t="s">
        <v>134</v>
      </c>
      <c r="C32" s="5" t="s">
        <v>138</v>
      </c>
      <c r="D32" s="15" t="s">
        <v>9</v>
      </c>
      <c r="E32" s="5" t="s">
        <v>139</v>
      </c>
      <c r="F32" s="5" t="s">
        <v>140</v>
      </c>
      <c r="G32" s="5" t="s">
        <v>141</v>
      </c>
    </row>
    <row r="33" customFormat="false" ht="22.35" hidden="false" customHeight="false" outlineLevel="0" collapsed="false">
      <c r="A33" s="5" t="n">
        <v>29</v>
      </c>
      <c r="B33" s="5" t="s">
        <v>134</v>
      </c>
      <c r="C33" s="5" t="s">
        <v>142</v>
      </c>
      <c r="D33" s="15" t="s">
        <v>9</v>
      </c>
      <c r="E33" s="5" t="s">
        <v>143</v>
      </c>
      <c r="F33" s="5" t="s">
        <v>144</v>
      </c>
      <c r="G33" s="5" t="s">
        <v>43</v>
      </c>
    </row>
    <row r="34" customFormat="false" ht="15" hidden="false" customHeight="false" outlineLevel="0" collapsed="false">
      <c r="A34" s="5" t="n">
        <v>30</v>
      </c>
      <c r="B34" s="5" t="s">
        <v>134</v>
      </c>
      <c r="C34" s="5" t="s">
        <v>145</v>
      </c>
      <c r="D34" s="15" t="s">
        <v>9</v>
      </c>
      <c r="E34" s="5" t="s">
        <v>146</v>
      </c>
      <c r="F34" s="5" t="s">
        <v>147</v>
      </c>
      <c r="G34" s="5" t="s">
        <v>148</v>
      </c>
    </row>
    <row r="35" customFormat="false" ht="15" hidden="false" customHeight="false" outlineLevel="0" collapsed="false">
      <c r="A35" s="5" t="n">
        <v>31</v>
      </c>
      <c r="B35" s="5" t="s">
        <v>149</v>
      </c>
      <c r="C35" s="5" t="s">
        <v>150</v>
      </c>
      <c r="D35" s="15" t="s">
        <v>9</v>
      </c>
      <c r="E35" s="5" t="s">
        <v>151</v>
      </c>
      <c r="F35" s="5" t="s">
        <v>152</v>
      </c>
      <c r="G35" s="5" t="s">
        <v>43</v>
      </c>
    </row>
    <row r="36" customFormat="false" ht="15" hidden="false" customHeight="false" outlineLevel="0" collapsed="false">
      <c r="A36" s="5" t="n">
        <v>32</v>
      </c>
      <c r="B36" s="5" t="s">
        <v>149</v>
      </c>
      <c r="C36" s="5" t="s">
        <v>153</v>
      </c>
      <c r="D36" s="15" t="s">
        <v>9</v>
      </c>
      <c r="E36" s="5" t="s">
        <v>154</v>
      </c>
      <c r="F36" s="5" t="s">
        <v>155</v>
      </c>
      <c r="G36" s="5" t="s">
        <v>156</v>
      </c>
    </row>
    <row r="37" customFormat="false" ht="15" hidden="false" customHeight="false" outlineLevel="0" collapsed="false">
      <c r="A37" s="5" t="n">
        <v>33</v>
      </c>
      <c r="B37" s="5" t="s">
        <v>149</v>
      </c>
      <c r="C37" s="5" t="s">
        <v>157</v>
      </c>
      <c r="D37" s="15" t="s">
        <v>9</v>
      </c>
      <c r="E37" s="5" t="s">
        <v>158</v>
      </c>
      <c r="F37" s="5" t="s">
        <v>159</v>
      </c>
      <c r="G37" s="5" t="s">
        <v>43</v>
      </c>
    </row>
    <row r="38" customFormat="false" ht="15" hidden="false" customHeight="false" outlineLevel="0" collapsed="false">
      <c r="A38" s="5" t="n">
        <v>34</v>
      </c>
      <c r="B38" s="5" t="s">
        <v>149</v>
      </c>
      <c r="C38" s="5" t="s">
        <v>54</v>
      </c>
      <c r="D38" s="15" t="s">
        <v>9</v>
      </c>
      <c r="E38" s="5" t="s">
        <v>160</v>
      </c>
      <c r="F38" s="5" t="s">
        <v>161</v>
      </c>
      <c r="G38" s="5" t="s">
        <v>43</v>
      </c>
    </row>
    <row r="39" customFormat="false" ht="15" hidden="false" customHeight="false" outlineLevel="0" collapsed="false">
      <c r="A39" s="5" t="n">
        <v>35</v>
      </c>
      <c r="B39" s="5" t="s">
        <v>149</v>
      </c>
      <c r="C39" s="5" t="s">
        <v>162</v>
      </c>
      <c r="D39" s="15" t="s">
        <v>9</v>
      </c>
      <c r="E39" s="5" t="s">
        <v>158</v>
      </c>
      <c r="F39" s="5" t="s">
        <v>163</v>
      </c>
      <c r="G39" s="5" t="s">
        <v>43</v>
      </c>
    </row>
    <row r="40" customFormat="false" ht="15" hidden="false" customHeight="false" outlineLevel="0" collapsed="false">
      <c r="A40" s="5" t="n">
        <v>36</v>
      </c>
      <c r="B40" s="5" t="s">
        <v>164</v>
      </c>
      <c r="C40" s="5" t="s">
        <v>165</v>
      </c>
      <c r="D40" s="15" t="s">
        <v>9</v>
      </c>
      <c r="E40" s="5" t="s">
        <v>166</v>
      </c>
      <c r="F40" s="5" t="s">
        <v>167</v>
      </c>
      <c r="G40" s="5" t="s">
        <v>168</v>
      </c>
    </row>
    <row r="41" customFormat="false" ht="15" hidden="false" customHeight="false" outlineLevel="0" collapsed="false">
      <c r="A41" s="5" t="n">
        <v>37</v>
      </c>
      <c r="B41" s="5" t="s">
        <v>164</v>
      </c>
      <c r="C41" s="5" t="s">
        <v>169</v>
      </c>
      <c r="D41" s="15" t="s">
        <v>9</v>
      </c>
      <c r="E41" s="5" t="s">
        <v>170</v>
      </c>
      <c r="F41" s="5" t="s">
        <v>171</v>
      </c>
      <c r="G41" s="5" t="s">
        <v>43</v>
      </c>
    </row>
    <row r="42" customFormat="false" ht="15" hidden="false" customHeight="false" outlineLevel="0" collapsed="false">
      <c r="A42" s="5" t="n">
        <v>38</v>
      </c>
      <c r="B42" s="5" t="s">
        <v>164</v>
      </c>
      <c r="C42" s="5" t="s">
        <v>172</v>
      </c>
      <c r="D42" s="15" t="s">
        <v>9</v>
      </c>
      <c r="E42" s="5" t="s">
        <v>173</v>
      </c>
      <c r="F42" s="5" t="s">
        <v>174</v>
      </c>
      <c r="G42" s="5" t="s">
        <v>43</v>
      </c>
    </row>
    <row r="43" customFormat="false" ht="15" hidden="false" customHeight="false" outlineLevel="0" collapsed="false">
      <c r="A43" s="5" t="n">
        <v>39</v>
      </c>
      <c r="B43" s="5" t="s">
        <v>164</v>
      </c>
      <c r="C43" s="5" t="s">
        <v>175</v>
      </c>
      <c r="D43" s="15" t="s">
        <v>9</v>
      </c>
      <c r="E43" s="5" t="s">
        <v>176</v>
      </c>
      <c r="F43" s="5" t="s">
        <v>177</v>
      </c>
      <c r="G43" s="5" t="s">
        <v>43</v>
      </c>
    </row>
    <row r="44" customFormat="false" ht="22.35" hidden="false" customHeight="false" outlineLevel="0" collapsed="false">
      <c r="A44" s="5" t="n">
        <v>40</v>
      </c>
      <c r="B44" s="5" t="s">
        <v>164</v>
      </c>
      <c r="C44" s="5" t="s">
        <v>178</v>
      </c>
      <c r="D44" s="15" t="s">
        <v>9</v>
      </c>
      <c r="E44" s="5" t="s">
        <v>179</v>
      </c>
      <c r="F44" s="5" t="s">
        <v>180</v>
      </c>
      <c r="G44" s="5" t="s">
        <v>181</v>
      </c>
    </row>
    <row r="45" customFormat="false" ht="22.35" hidden="false" customHeight="false" outlineLevel="0" collapsed="false">
      <c r="A45" s="5" t="n">
        <v>41</v>
      </c>
      <c r="B45" s="5" t="s">
        <v>164</v>
      </c>
      <c r="C45" s="5" t="s">
        <v>182</v>
      </c>
      <c r="D45" s="15" t="s">
        <v>9</v>
      </c>
      <c r="E45" s="5" t="s">
        <v>183</v>
      </c>
      <c r="F45" s="5" t="s">
        <v>184</v>
      </c>
      <c r="G45" s="5" t="s">
        <v>43</v>
      </c>
    </row>
    <row r="46" customFormat="false" ht="15" hidden="false" customHeight="false" outlineLevel="0" collapsed="false">
      <c r="A46" s="5" t="n">
        <v>42</v>
      </c>
      <c r="B46" s="5" t="s">
        <v>185</v>
      </c>
      <c r="C46" s="5" t="s">
        <v>169</v>
      </c>
      <c r="D46" s="15" t="s">
        <v>9</v>
      </c>
      <c r="E46" s="5" t="s">
        <v>186</v>
      </c>
      <c r="F46" s="5" t="s">
        <v>187</v>
      </c>
      <c r="G46" s="5" t="s">
        <v>43</v>
      </c>
    </row>
    <row r="47" customFormat="false" ht="15" hidden="false" customHeight="false" outlineLevel="0" collapsed="false">
      <c r="A47" s="5" t="n">
        <v>43</v>
      </c>
      <c r="B47" s="5" t="s">
        <v>185</v>
      </c>
      <c r="C47" s="5" t="s">
        <v>188</v>
      </c>
      <c r="D47" s="15" t="s">
        <v>9</v>
      </c>
      <c r="E47" s="5" t="s">
        <v>189</v>
      </c>
      <c r="F47" s="5" t="s">
        <v>190</v>
      </c>
      <c r="G47" s="5" t="s">
        <v>43</v>
      </c>
    </row>
    <row r="48" customFormat="false" ht="15" hidden="false" customHeight="false" outlineLevel="0" collapsed="false">
      <c r="A48" s="5" t="n">
        <v>44</v>
      </c>
      <c r="B48" s="5" t="s">
        <v>185</v>
      </c>
      <c r="C48" s="5" t="s">
        <v>191</v>
      </c>
      <c r="D48" s="15" t="s">
        <v>9</v>
      </c>
      <c r="E48" s="5" t="s">
        <v>192</v>
      </c>
      <c r="F48" s="5" t="s">
        <v>193</v>
      </c>
      <c r="G48" s="5" t="s">
        <v>43</v>
      </c>
    </row>
    <row r="49" customFormat="false" ht="15" hidden="false" customHeight="false" outlineLevel="0" collapsed="false">
      <c r="A49" s="5" t="n">
        <v>45</v>
      </c>
      <c r="B49" s="5" t="s">
        <v>185</v>
      </c>
      <c r="C49" s="5" t="s">
        <v>194</v>
      </c>
      <c r="D49" s="15" t="s">
        <v>9</v>
      </c>
      <c r="E49" s="5" t="s">
        <v>195</v>
      </c>
      <c r="F49" s="5" t="s">
        <v>196</v>
      </c>
      <c r="G49" s="5" t="s">
        <v>43</v>
      </c>
    </row>
    <row r="50" customFormat="false" ht="15" hidden="false" customHeight="false" outlineLevel="0" collapsed="false">
      <c r="A50" s="5" t="n">
        <v>46</v>
      </c>
      <c r="B50" s="5" t="s">
        <v>185</v>
      </c>
      <c r="C50" s="5" t="s">
        <v>197</v>
      </c>
      <c r="D50" s="15" t="s">
        <v>9</v>
      </c>
      <c r="E50" s="5" t="s">
        <v>198</v>
      </c>
      <c r="F50" s="5" t="s">
        <v>199</v>
      </c>
      <c r="G50" s="5" t="s">
        <v>43</v>
      </c>
    </row>
    <row r="51" customFormat="false" ht="15" hidden="false" customHeight="false" outlineLevel="0" collapsed="false">
      <c r="A51" s="5" t="n">
        <v>47</v>
      </c>
      <c r="B51" s="5" t="s">
        <v>185</v>
      </c>
      <c r="C51" s="5" t="s">
        <v>200</v>
      </c>
      <c r="D51" s="15" t="s">
        <v>9</v>
      </c>
      <c r="E51" s="5" t="s">
        <v>201</v>
      </c>
      <c r="F51" s="5" t="s">
        <v>202</v>
      </c>
      <c r="G51" s="5" t="s">
        <v>43</v>
      </c>
    </row>
    <row r="52" customFormat="false" ht="15" hidden="false" customHeight="false" outlineLevel="0" collapsed="false">
      <c r="A52" s="5" t="n">
        <v>48</v>
      </c>
      <c r="B52" s="5" t="s">
        <v>185</v>
      </c>
      <c r="C52" s="5" t="s">
        <v>203</v>
      </c>
      <c r="D52" s="15" t="s">
        <v>9</v>
      </c>
      <c r="E52" s="5" t="s">
        <v>204</v>
      </c>
      <c r="F52" s="5" t="s">
        <v>205</v>
      </c>
      <c r="G52" s="5" t="s">
        <v>43</v>
      </c>
    </row>
    <row r="54" customFormat="false" ht="15" hidden="false" customHeight="false" outlineLevel="0" collapsed="false">
      <c r="B54" s="18" t="s">
        <v>206</v>
      </c>
    </row>
    <row r="55" customFormat="false" ht="15" hidden="false" customHeight="false" outlineLevel="0" collapsed="false">
      <c r="B55" s="19" t="s">
        <v>9</v>
      </c>
      <c r="C55" s="19" t="n">
        <f aca="false">COUNTIF($D$5:$D$52,B55)</f>
        <v>44</v>
      </c>
    </row>
    <row r="56" customFormat="false" ht="15" hidden="false" customHeight="false" outlineLevel="0" collapsed="false">
      <c r="B56" s="19" t="s">
        <v>10</v>
      </c>
      <c r="C56" s="19" t="n">
        <f aca="false">COUNTIF($D$5:$D$52,B56)</f>
        <v>1</v>
      </c>
    </row>
    <row r="57" customFormat="false" ht="15" hidden="false" customHeight="false" outlineLevel="0" collapsed="false">
      <c r="B57" s="19" t="s">
        <v>11</v>
      </c>
      <c r="C57" s="19" t="n">
        <f aca="false">COUNTIF($D$5:$D$52,B57)</f>
        <v>3</v>
      </c>
    </row>
    <row r="58" customFormat="false" ht="15" hidden="false" customHeight="false" outlineLevel="0" collapsed="false">
      <c r="B58" s="19" t="s">
        <v>12</v>
      </c>
      <c r="C58" s="19" t="n">
        <f aca="false">COUNTIF($D$5:$D$52,B58)</f>
        <v>0</v>
      </c>
    </row>
    <row r="59" customFormat="false" ht="15" hidden="false" customHeight="false" outlineLevel="0" collapsed="false">
      <c r="B59" s="18" t="s">
        <v>17</v>
      </c>
      <c r="C59" s="18" t="n">
        <f aca="false">SUM(C55:C58)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45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60"/>
    <col collapsed="false" customWidth="true" hidden="false" outlineLevel="0" max="15" min="15" style="0" width="45"/>
    <col collapsed="false" customWidth="true" hidden="false" outlineLevel="0" max="16" min="16" style="0" width="28"/>
    <col collapsed="false" customWidth="true" hidden="false" outlineLevel="0" max="17" min="17" style="0" width="40"/>
  </cols>
  <sheetData>
    <row r="1" customFormat="false" ht="23.85" hidden="false" customHeight="false" outlineLevel="0" collapsed="false">
      <c r="A1" s="4" t="s">
        <v>207</v>
      </c>
      <c r="B1" s="4" t="s">
        <v>208</v>
      </c>
      <c r="C1" s="4" t="s">
        <v>209</v>
      </c>
      <c r="D1" s="4" t="s">
        <v>210</v>
      </c>
      <c r="E1" s="4" t="s">
        <v>211</v>
      </c>
      <c r="F1" s="4" t="s">
        <v>212</v>
      </c>
      <c r="G1" s="4" t="s">
        <v>213</v>
      </c>
      <c r="H1" s="4" t="s">
        <v>214</v>
      </c>
      <c r="I1" s="4" t="s">
        <v>215</v>
      </c>
      <c r="J1" s="4" t="s">
        <v>216</v>
      </c>
      <c r="K1" s="4" t="s">
        <v>35</v>
      </c>
      <c r="L1" s="4" t="s">
        <v>217</v>
      </c>
      <c r="M1" s="4" t="s">
        <v>218</v>
      </c>
      <c r="N1" s="4" t="s">
        <v>219</v>
      </c>
      <c r="O1" s="4" t="s">
        <v>220</v>
      </c>
      <c r="P1" s="4" t="s">
        <v>221</v>
      </c>
      <c r="Q1" s="4" t="s">
        <v>222</v>
      </c>
    </row>
    <row r="2" customFormat="false" ht="43.25" hidden="false" customHeight="false" outlineLevel="0" collapsed="false">
      <c r="A2" s="5" t="n">
        <v>1</v>
      </c>
      <c r="B2" s="5" t="s">
        <v>18</v>
      </c>
      <c r="C2" s="5" t="s">
        <v>223</v>
      </c>
      <c r="D2" s="5" t="s">
        <v>224</v>
      </c>
      <c r="E2" s="5" t="s">
        <v>225</v>
      </c>
      <c r="F2" s="5" t="s">
        <v>226</v>
      </c>
      <c r="G2" s="5" t="s">
        <v>227</v>
      </c>
      <c r="H2" s="5" t="s">
        <v>228</v>
      </c>
      <c r="I2" s="5" t="s">
        <v>229</v>
      </c>
      <c r="J2" s="5" t="s">
        <v>10</v>
      </c>
      <c r="K2" s="16" t="s">
        <v>11</v>
      </c>
      <c r="L2" s="5" t="s">
        <v>230</v>
      </c>
      <c r="M2" s="5" t="s">
        <v>231</v>
      </c>
      <c r="N2" s="5" t="s">
        <v>232</v>
      </c>
      <c r="O2" s="5" t="s">
        <v>233</v>
      </c>
      <c r="P2" s="5" t="s">
        <v>234</v>
      </c>
      <c r="Q2" s="5" t="s">
        <v>235</v>
      </c>
    </row>
    <row r="3" customFormat="false" ht="22.35" hidden="false" customHeight="false" outlineLevel="0" collapsed="false">
      <c r="A3" s="5" t="n">
        <v>2</v>
      </c>
      <c r="B3" s="5" t="s">
        <v>18</v>
      </c>
      <c r="C3" s="5" t="s">
        <v>236</v>
      </c>
      <c r="D3" s="5" t="s">
        <v>224</v>
      </c>
      <c r="E3" s="5" t="s">
        <v>237</v>
      </c>
      <c r="F3" s="5" t="s">
        <v>226</v>
      </c>
      <c r="G3" s="5" t="s">
        <v>227</v>
      </c>
      <c r="H3" s="5" t="s">
        <v>238</v>
      </c>
      <c r="I3" s="5" t="s">
        <v>239</v>
      </c>
      <c r="J3" s="5" t="s">
        <v>9</v>
      </c>
      <c r="K3" s="15" t="s">
        <v>9</v>
      </c>
      <c r="L3" s="5" t="s">
        <v>240</v>
      </c>
      <c r="M3" s="5" t="s">
        <v>241</v>
      </c>
      <c r="N3" s="5" t="s">
        <v>242</v>
      </c>
      <c r="O3" s="5" t="s">
        <v>43</v>
      </c>
      <c r="P3" s="5" t="s">
        <v>43</v>
      </c>
      <c r="Q3" s="5" t="s">
        <v>243</v>
      </c>
    </row>
    <row r="4" customFormat="false" ht="22.35" hidden="false" customHeight="false" outlineLevel="0" collapsed="false">
      <c r="A4" s="5" t="n">
        <v>3</v>
      </c>
      <c r="B4" s="5" t="s">
        <v>18</v>
      </c>
      <c r="C4" s="5" t="s">
        <v>244</v>
      </c>
      <c r="D4" s="5" t="s">
        <v>224</v>
      </c>
      <c r="E4" s="5" t="s">
        <v>245</v>
      </c>
      <c r="F4" s="5" t="s">
        <v>246</v>
      </c>
      <c r="G4" s="5" t="s">
        <v>247</v>
      </c>
      <c r="H4" s="5" t="s">
        <v>248</v>
      </c>
      <c r="I4" s="5" t="s">
        <v>249</v>
      </c>
      <c r="J4" s="5" t="s">
        <v>9</v>
      </c>
      <c r="K4" s="15" t="s">
        <v>9</v>
      </c>
      <c r="L4" s="5" t="s">
        <v>240</v>
      </c>
      <c r="M4" s="5" t="s">
        <v>241</v>
      </c>
      <c r="N4" s="5" t="s">
        <v>250</v>
      </c>
      <c r="O4" s="5" t="s">
        <v>43</v>
      </c>
      <c r="P4" s="5" t="s">
        <v>43</v>
      </c>
      <c r="Q4" s="5" t="s">
        <v>251</v>
      </c>
    </row>
    <row r="5" customFormat="false" ht="32.8" hidden="false" customHeight="false" outlineLevel="0" collapsed="false">
      <c r="A5" s="5" t="n">
        <v>4</v>
      </c>
      <c r="B5" s="5" t="s">
        <v>18</v>
      </c>
      <c r="C5" s="5" t="s">
        <v>252</v>
      </c>
      <c r="D5" s="5" t="s">
        <v>253</v>
      </c>
      <c r="E5" s="5" t="s">
        <v>254</v>
      </c>
      <c r="F5" s="5" t="s">
        <v>226</v>
      </c>
      <c r="G5" s="5" t="s">
        <v>227</v>
      </c>
      <c r="H5" s="5" t="s">
        <v>255</v>
      </c>
      <c r="I5" s="5" t="s">
        <v>256</v>
      </c>
      <c r="J5" s="5" t="s">
        <v>9</v>
      </c>
      <c r="K5" s="15" t="s">
        <v>9</v>
      </c>
      <c r="L5" s="5" t="s">
        <v>240</v>
      </c>
      <c r="M5" s="5" t="s">
        <v>241</v>
      </c>
      <c r="N5" s="5" t="s">
        <v>257</v>
      </c>
      <c r="O5" s="5" t="s">
        <v>43</v>
      </c>
      <c r="P5" s="5" t="s">
        <v>43</v>
      </c>
      <c r="Q5" s="5" t="s">
        <v>258</v>
      </c>
    </row>
    <row r="6" customFormat="false" ht="22.35" hidden="false" customHeight="false" outlineLevel="0" collapsed="false">
      <c r="A6" s="5" t="n">
        <v>5</v>
      </c>
      <c r="B6" s="5" t="s">
        <v>18</v>
      </c>
      <c r="C6" s="5" t="s">
        <v>259</v>
      </c>
      <c r="D6" s="5" t="s">
        <v>253</v>
      </c>
      <c r="E6" s="5" t="s">
        <v>260</v>
      </c>
      <c r="F6" s="5" t="s">
        <v>226</v>
      </c>
      <c r="G6" s="5" t="s">
        <v>227</v>
      </c>
      <c r="H6" s="5" t="s">
        <v>261</v>
      </c>
      <c r="I6" s="5" t="s">
        <v>262</v>
      </c>
      <c r="J6" s="5" t="s">
        <v>9</v>
      </c>
      <c r="K6" s="15" t="s">
        <v>9</v>
      </c>
      <c r="L6" s="5" t="s">
        <v>240</v>
      </c>
      <c r="M6" s="5" t="s">
        <v>241</v>
      </c>
      <c r="N6" s="5" t="s">
        <v>263</v>
      </c>
      <c r="O6" s="5" t="s">
        <v>43</v>
      </c>
      <c r="P6" s="5" t="s">
        <v>43</v>
      </c>
      <c r="Q6" s="5" t="s">
        <v>264</v>
      </c>
    </row>
    <row r="7" customFormat="false" ht="22.35" hidden="false" customHeight="false" outlineLevel="0" collapsed="false">
      <c r="A7" s="5" t="n">
        <v>6</v>
      </c>
      <c r="B7" s="5" t="s">
        <v>18</v>
      </c>
      <c r="C7" s="5" t="s">
        <v>265</v>
      </c>
      <c r="D7" s="5" t="s">
        <v>266</v>
      </c>
      <c r="E7" s="5" t="s">
        <v>267</v>
      </c>
      <c r="F7" s="5" t="s">
        <v>226</v>
      </c>
      <c r="G7" s="5" t="s">
        <v>227</v>
      </c>
      <c r="H7" s="5" t="s">
        <v>268</v>
      </c>
      <c r="I7" s="5" t="s">
        <v>269</v>
      </c>
      <c r="J7" s="5" t="s">
        <v>9</v>
      </c>
      <c r="K7" s="15" t="s">
        <v>9</v>
      </c>
      <c r="L7" s="5" t="s">
        <v>240</v>
      </c>
      <c r="M7" s="5" t="s">
        <v>241</v>
      </c>
      <c r="N7" s="5" t="s">
        <v>43</v>
      </c>
      <c r="O7" s="5" t="s">
        <v>270</v>
      </c>
      <c r="P7" s="5" t="s">
        <v>43</v>
      </c>
      <c r="Q7" s="5" t="s">
        <v>43</v>
      </c>
    </row>
    <row r="8" customFormat="false" ht="53.7" hidden="false" customHeight="false" outlineLevel="0" collapsed="false">
      <c r="A8" s="5" t="n">
        <v>7</v>
      </c>
      <c r="B8" s="5" t="s">
        <v>18</v>
      </c>
      <c r="C8" s="5" t="s">
        <v>271</v>
      </c>
      <c r="D8" s="5" t="s">
        <v>266</v>
      </c>
      <c r="E8" s="5" t="s">
        <v>272</v>
      </c>
      <c r="F8" s="5" t="s">
        <v>226</v>
      </c>
      <c r="G8" s="5" t="s">
        <v>227</v>
      </c>
      <c r="H8" s="5" t="s">
        <v>273</v>
      </c>
      <c r="I8" s="5" t="s">
        <v>274</v>
      </c>
      <c r="J8" s="5" t="s">
        <v>10</v>
      </c>
      <c r="K8" s="15" t="s">
        <v>9</v>
      </c>
      <c r="L8" s="5" t="s">
        <v>275</v>
      </c>
      <c r="M8" s="5" t="s">
        <v>276</v>
      </c>
      <c r="N8" s="5" t="s">
        <v>277</v>
      </c>
      <c r="O8" s="5" t="s">
        <v>278</v>
      </c>
      <c r="P8" s="5" t="s">
        <v>43</v>
      </c>
      <c r="Q8" s="5" t="s">
        <v>279</v>
      </c>
    </row>
    <row r="9" customFormat="false" ht="53.7" hidden="false" customHeight="false" outlineLevel="0" collapsed="false">
      <c r="A9" s="5" t="n">
        <v>8</v>
      </c>
      <c r="B9" s="5" t="s">
        <v>18</v>
      </c>
      <c r="C9" s="5" t="s">
        <v>280</v>
      </c>
      <c r="D9" s="5" t="s">
        <v>266</v>
      </c>
      <c r="E9" s="5" t="s">
        <v>281</v>
      </c>
      <c r="F9" s="5" t="s">
        <v>226</v>
      </c>
      <c r="G9" s="5" t="s">
        <v>227</v>
      </c>
      <c r="H9" s="5" t="s">
        <v>282</v>
      </c>
      <c r="I9" s="5" t="s">
        <v>283</v>
      </c>
      <c r="J9" s="5" t="s">
        <v>9</v>
      </c>
      <c r="K9" s="15" t="s">
        <v>9</v>
      </c>
      <c r="L9" s="5" t="s">
        <v>240</v>
      </c>
      <c r="M9" s="5" t="s">
        <v>241</v>
      </c>
      <c r="N9" s="5" t="s">
        <v>284</v>
      </c>
      <c r="O9" s="5" t="s">
        <v>43</v>
      </c>
      <c r="P9" s="5" t="s">
        <v>43</v>
      </c>
      <c r="Q9" s="5" t="s">
        <v>285</v>
      </c>
    </row>
    <row r="10" customFormat="false" ht="53.7" hidden="false" customHeight="false" outlineLevel="0" collapsed="false">
      <c r="A10" s="5" t="n">
        <v>9</v>
      </c>
      <c r="B10" s="5" t="s">
        <v>18</v>
      </c>
      <c r="C10" s="5" t="s">
        <v>286</v>
      </c>
      <c r="D10" s="5" t="s">
        <v>266</v>
      </c>
      <c r="E10" s="5" t="s">
        <v>287</v>
      </c>
      <c r="F10" s="5" t="s">
        <v>226</v>
      </c>
      <c r="G10" s="5" t="s">
        <v>227</v>
      </c>
      <c r="H10" s="5" t="s">
        <v>288</v>
      </c>
      <c r="I10" s="5" t="s">
        <v>289</v>
      </c>
      <c r="J10" s="5" t="s">
        <v>9</v>
      </c>
      <c r="K10" s="15" t="s">
        <v>9</v>
      </c>
      <c r="L10" s="5" t="s">
        <v>240</v>
      </c>
      <c r="M10" s="5" t="s">
        <v>241</v>
      </c>
      <c r="N10" s="5" t="s">
        <v>290</v>
      </c>
      <c r="O10" s="5" t="s">
        <v>43</v>
      </c>
      <c r="P10" s="5" t="s">
        <v>43</v>
      </c>
      <c r="Q10" s="5" t="s">
        <v>291</v>
      </c>
    </row>
    <row r="11" customFormat="false" ht="32.8" hidden="false" customHeight="false" outlineLevel="0" collapsed="false">
      <c r="A11" s="5" t="n">
        <v>10</v>
      </c>
      <c r="B11" s="5" t="s">
        <v>18</v>
      </c>
      <c r="C11" s="5" t="s">
        <v>292</v>
      </c>
      <c r="D11" s="5" t="s">
        <v>266</v>
      </c>
      <c r="E11" s="5" t="s">
        <v>293</v>
      </c>
      <c r="F11" s="5" t="s">
        <v>226</v>
      </c>
      <c r="G11" s="5" t="s">
        <v>227</v>
      </c>
      <c r="H11" s="5" t="s">
        <v>294</v>
      </c>
      <c r="I11" s="5" t="s">
        <v>295</v>
      </c>
      <c r="J11" s="5" t="s">
        <v>9</v>
      </c>
      <c r="K11" s="15" t="s">
        <v>9</v>
      </c>
      <c r="L11" s="5" t="s">
        <v>240</v>
      </c>
      <c r="M11" s="5" t="s">
        <v>241</v>
      </c>
      <c r="N11" s="5" t="s">
        <v>296</v>
      </c>
      <c r="O11" s="5" t="s">
        <v>43</v>
      </c>
      <c r="P11" s="5" t="s">
        <v>43</v>
      </c>
      <c r="Q11" s="5" t="s">
        <v>297</v>
      </c>
    </row>
    <row r="12" customFormat="false" ht="32.8" hidden="false" customHeight="false" outlineLevel="0" collapsed="false">
      <c r="A12" s="5" t="n">
        <v>11</v>
      </c>
      <c r="B12" s="5" t="s">
        <v>18</v>
      </c>
      <c r="C12" s="5" t="s">
        <v>186</v>
      </c>
      <c r="D12" s="5" t="s">
        <v>298</v>
      </c>
      <c r="E12" s="5" t="s">
        <v>169</v>
      </c>
      <c r="F12" s="5" t="s">
        <v>226</v>
      </c>
      <c r="G12" s="5" t="s">
        <v>227</v>
      </c>
      <c r="H12" s="5" t="s">
        <v>299</v>
      </c>
      <c r="I12" s="5" t="s">
        <v>300</v>
      </c>
      <c r="J12" s="5" t="s">
        <v>9</v>
      </c>
      <c r="K12" s="15" t="s">
        <v>9</v>
      </c>
      <c r="L12" s="5" t="s">
        <v>240</v>
      </c>
      <c r="M12" s="5" t="s">
        <v>241</v>
      </c>
      <c r="N12" s="5" t="s">
        <v>43</v>
      </c>
      <c r="O12" s="5" t="s">
        <v>43</v>
      </c>
      <c r="P12" s="5" t="s">
        <v>43</v>
      </c>
      <c r="Q12" s="5" t="s">
        <v>43</v>
      </c>
    </row>
    <row r="13" customFormat="false" ht="22.35" hidden="false" customHeight="false" outlineLevel="0" collapsed="false">
      <c r="A13" s="5" t="n">
        <v>12</v>
      </c>
      <c r="B13" s="5" t="s">
        <v>18</v>
      </c>
      <c r="C13" s="5" t="s">
        <v>301</v>
      </c>
      <c r="D13" s="5" t="s">
        <v>298</v>
      </c>
      <c r="E13" s="5" t="s">
        <v>302</v>
      </c>
      <c r="F13" s="5" t="s">
        <v>226</v>
      </c>
      <c r="G13" s="5" t="s">
        <v>227</v>
      </c>
      <c r="H13" s="5" t="s">
        <v>303</v>
      </c>
      <c r="I13" s="5" t="s">
        <v>304</v>
      </c>
      <c r="J13" s="5" t="s">
        <v>9</v>
      </c>
      <c r="K13" s="15" t="s">
        <v>9</v>
      </c>
      <c r="L13" s="5" t="s">
        <v>240</v>
      </c>
      <c r="M13" s="5" t="s">
        <v>241</v>
      </c>
      <c r="N13" s="5" t="s">
        <v>43</v>
      </c>
      <c r="O13" s="5" t="s">
        <v>43</v>
      </c>
      <c r="P13" s="5" t="s">
        <v>43</v>
      </c>
      <c r="Q13" s="5" t="s">
        <v>43</v>
      </c>
    </row>
    <row r="14" customFormat="false" ht="15" hidden="false" customHeight="false" outlineLevel="0" collapsed="false">
      <c r="A14" s="5" t="n">
        <v>13</v>
      </c>
      <c r="B14" s="5" t="s">
        <v>18</v>
      </c>
      <c r="C14" s="5" t="s">
        <v>305</v>
      </c>
      <c r="D14" s="5" t="s">
        <v>298</v>
      </c>
      <c r="E14" s="5" t="s">
        <v>306</v>
      </c>
      <c r="F14" s="5" t="s">
        <v>226</v>
      </c>
      <c r="G14" s="5" t="s">
        <v>227</v>
      </c>
      <c r="H14" s="5" t="s">
        <v>307</v>
      </c>
      <c r="I14" s="5" t="s">
        <v>308</v>
      </c>
      <c r="J14" s="5" t="s">
        <v>9</v>
      </c>
      <c r="K14" s="15" t="s">
        <v>9</v>
      </c>
      <c r="L14" s="5" t="s">
        <v>240</v>
      </c>
      <c r="M14" s="5" t="s">
        <v>241</v>
      </c>
      <c r="N14" s="5" t="s">
        <v>43</v>
      </c>
      <c r="O14" s="5" t="s">
        <v>43</v>
      </c>
      <c r="P14" s="5" t="s">
        <v>43</v>
      </c>
      <c r="Q14" s="5" t="s">
        <v>43</v>
      </c>
    </row>
    <row r="15" customFormat="false" ht="53.7" hidden="false" customHeight="false" outlineLevel="0" collapsed="false">
      <c r="A15" s="5" t="n">
        <v>14</v>
      </c>
      <c r="B15" s="5" t="s">
        <v>18</v>
      </c>
      <c r="C15" s="5" t="s">
        <v>309</v>
      </c>
      <c r="D15" s="5" t="s">
        <v>298</v>
      </c>
      <c r="E15" s="5" t="s">
        <v>310</v>
      </c>
      <c r="F15" s="5" t="s">
        <v>246</v>
      </c>
      <c r="G15" s="5" t="s">
        <v>227</v>
      </c>
      <c r="H15" s="5" t="s">
        <v>311</v>
      </c>
      <c r="I15" s="5" t="s">
        <v>312</v>
      </c>
      <c r="J15" s="5" t="s">
        <v>10</v>
      </c>
      <c r="K15" s="15" t="s">
        <v>9</v>
      </c>
      <c r="L15" s="5" t="s">
        <v>275</v>
      </c>
      <c r="M15" s="5" t="s">
        <v>313</v>
      </c>
      <c r="N15" s="5" t="s">
        <v>314</v>
      </c>
      <c r="O15" s="5" t="s">
        <v>43</v>
      </c>
      <c r="P15" s="5" t="s">
        <v>43</v>
      </c>
      <c r="Q15" s="5" t="s">
        <v>315</v>
      </c>
    </row>
    <row r="16" customFormat="false" ht="53.7" hidden="false" customHeight="false" outlineLevel="0" collapsed="false">
      <c r="A16" s="5" t="n">
        <v>15</v>
      </c>
      <c r="B16" s="5" t="s">
        <v>18</v>
      </c>
      <c r="C16" s="5" t="s">
        <v>195</v>
      </c>
      <c r="D16" s="5" t="s">
        <v>298</v>
      </c>
      <c r="E16" s="5" t="s">
        <v>316</v>
      </c>
      <c r="F16" s="5" t="s">
        <v>226</v>
      </c>
      <c r="G16" s="5" t="s">
        <v>227</v>
      </c>
      <c r="H16" s="5" t="s">
        <v>317</v>
      </c>
      <c r="I16" s="5" t="s">
        <v>318</v>
      </c>
      <c r="J16" s="5" t="s">
        <v>9</v>
      </c>
      <c r="K16" s="15" t="s">
        <v>9</v>
      </c>
      <c r="L16" s="5" t="s">
        <v>240</v>
      </c>
      <c r="M16" s="5" t="s">
        <v>241</v>
      </c>
      <c r="N16" s="5" t="s">
        <v>319</v>
      </c>
      <c r="O16" s="5" t="s">
        <v>43</v>
      </c>
      <c r="P16" s="5" t="s">
        <v>43</v>
      </c>
      <c r="Q16" s="5" t="s">
        <v>320</v>
      </c>
    </row>
    <row r="17" customFormat="false" ht="15" hidden="false" customHeight="false" outlineLevel="0" collapsed="false">
      <c r="A17" s="5" t="n">
        <v>16</v>
      </c>
      <c r="B17" s="5" t="s">
        <v>18</v>
      </c>
      <c r="C17" s="5" t="s">
        <v>321</v>
      </c>
      <c r="D17" s="5" t="s">
        <v>191</v>
      </c>
      <c r="E17" s="5" t="s">
        <v>322</v>
      </c>
      <c r="F17" s="5" t="s">
        <v>226</v>
      </c>
      <c r="G17" s="5" t="s">
        <v>227</v>
      </c>
      <c r="H17" s="5" t="s">
        <v>323</v>
      </c>
      <c r="I17" s="5" t="s">
        <v>324</v>
      </c>
      <c r="J17" s="5" t="s">
        <v>9</v>
      </c>
      <c r="K17" s="15" t="s">
        <v>9</v>
      </c>
      <c r="L17" s="5" t="s">
        <v>240</v>
      </c>
      <c r="M17" s="5" t="s">
        <v>241</v>
      </c>
      <c r="N17" s="5" t="s">
        <v>43</v>
      </c>
      <c r="O17" s="5" t="s">
        <v>43</v>
      </c>
      <c r="P17" s="5" t="s">
        <v>43</v>
      </c>
      <c r="Q17" s="5" t="s">
        <v>43</v>
      </c>
    </row>
    <row r="18" customFormat="false" ht="15" hidden="false" customHeight="false" outlineLevel="0" collapsed="false">
      <c r="A18" s="5" t="n">
        <v>17</v>
      </c>
      <c r="B18" s="5" t="s">
        <v>18</v>
      </c>
      <c r="C18" s="5" t="s">
        <v>325</v>
      </c>
      <c r="D18" s="5" t="s">
        <v>191</v>
      </c>
      <c r="E18" s="5" t="s">
        <v>326</v>
      </c>
      <c r="F18" s="5" t="s">
        <v>246</v>
      </c>
      <c r="G18" s="5" t="s">
        <v>227</v>
      </c>
      <c r="H18" s="5" t="s">
        <v>327</v>
      </c>
      <c r="I18" s="5" t="s">
        <v>328</v>
      </c>
      <c r="J18" s="5" t="s">
        <v>9</v>
      </c>
      <c r="K18" s="15" t="s">
        <v>9</v>
      </c>
      <c r="L18" s="5" t="s">
        <v>240</v>
      </c>
      <c r="M18" s="5" t="s">
        <v>241</v>
      </c>
      <c r="N18" s="5" t="s">
        <v>329</v>
      </c>
      <c r="O18" s="5" t="s">
        <v>43</v>
      </c>
      <c r="P18" s="5" t="s">
        <v>43</v>
      </c>
      <c r="Q18" s="5" t="s">
        <v>43</v>
      </c>
    </row>
    <row r="19" customFormat="false" ht="43.25" hidden="false" customHeight="false" outlineLevel="0" collapsed="false">
      <c r="A19" s="5" t="n">
        <v>18</v>
      </c>
      <c r="B19" s="5" t="s">
        <v>18</v>
      </c>
      <c r="C19" s="5" t="s">
        <v>330</v>
      </c>
      <c r="D19" s="5" t="s">
        <v>191</v>
      </c>
      <c r="E19" s="5" t="s">
        <v>331</v>
      </c>
      <c r="F19" s="5" t="s">
        <v>246</v>
      </c>
      <c r="G19" s="5" t="s">
        <v>247</v>
      </c>
      <c r="H19" s="5" t="s">
        <v>332</v>
      </c>
      <c r="I19" s="5" t="s">
        <v>333</v>
      </c>
      <c r="J19" s="5" t="s">
        <v>9</v>
      </c>
      <c r="K19" s="15" t="s">
        <v>9</v>
      </c>
      <c r="L19" s="5" t="s">
        <v>240</v>
      </c>
      <c r="M19" s="5" t="s">
        <v>241</v>
      </c>
      <c r="N19" s="5" t="s">
        <v>334</v>
      </c>
      <c r="O19" s="5" t="s">
        <v>335</v>
      </c>
      <c r="P19" s="5" t="s">
        <v>43</v>
      </c>
      <c r="Q19" s="5" t="s">
        <v>336</v>
      </c>
    </row>
    <row r="20" customFormat="false" ht="22.35" hidden="false" customHeight="false" outlineLevel="0" collapsed="false">
      <c r="A20" s="5" t="n">
        <v>19</v>
      </c>
      <c r="B20" s="5" t="s">
        <v>18</v>
      </c>
      <c r="C20" s="5" t="s">
        <v>337</v>
      </c>
      <c r="D20" s="5" t="s">
        <v>338</v>
      </c>
      <c r="E20" s="5" t="s">
        <v>339</v>
      </c>
      <c r="F20" s="5" t="s">
        <v>226</v>
      </c>
      <c r="G20" s="5" t="s">
        <v>227</v>
      </c>
      <c r="H20" s="5" t="s">
        <v>340</v>
      </c>
      <c r="I20" s="5" t="s">
        <v>341</v>
      </c>
      <c r="J20" s="5" t="s">
        <v>9</v>
      </c>
      <c r="K20" s="15" t="s">
        <v>9</v>
      </c>
      <c r="L20" s="5" t="s">
        <v>240</v>
      </c>
      <c r="M20" s="5" t="s">
        <v>241</v>
      </c>
      <c r="N20" s="5" t="s">
        <v>342</v>
      </c>
      <c r="O20" s="5" t="s">
        <v>43</v>
      </c>
      <c r="P20" s="5" t="s">
        <v>43</v>
      </c>
      <c r="Q20" s="5" t="s">
        <v>343</v>
      </c>
    </row>
    <row r="21" customFormat="false" ht="22.35" hidden="false" customHeight="false" outlineLevel="0" collapsed="false">
      <c r="A21" s="5" t="n">
        <v>20</v>
      </c>
      <c r="B21" s="5" t="s">
        <v>18</v>
      </c>
      <c r="C21" s="5" t="s">
        <v>344</v>
      </c>
      <c r="D21" s="5" t="s">
        <v>338</v>
      </c>
      <c r="E21" s="5" t="s">
        <v>345</v>
      </c>
      <c r="F21" s="5" t="s">
        <v>226</v>
      </c>
      <c r="G21" s="5" t="s">
        <v>227</v>
      </c>
      <c r="H21" s="5" t="s">
        <v>346</v>
      </c>
      <c r="I21" s="5" t="s">
        <v>347</v>
      </c>
      <c r="J21" s="5" t="s">
        <v>9</v>
      </c>
      <c r="K21" s="15" t="s">
        <v>9</v>
      </c>
      <c r="L21" s="5" t="s">
        <v>240</v>
      </c>
      <c r="M21" s="5" t="s">
        <v>241</v>
      </c>
      <c r="N21" s="5" t="s">
        <v>348</v>
      </c>
      <c r="O21" s="5" t="s">
        <v>43</v>
      </c>
      <c r="P21" s="5" t="s">
        <v>43</v>
      </c>
      <c r="Q21" s="5" t="s">
        <v>349</v>
      </c>
    </row>
    <row r="22" customFormat="false" ht="22.35" hidden="false" customHeight="false" outlineLevel="0" collapsed="false">
      <c r="A22" s="5" t="n">
        <v>21</v>
      </c>
      <c r="B22" s="5" t="s">
        <v>18</v>
      </c>
      <c r="C22" s="5" t="s">
        <v>350</v>
      </c>
      <c r="D22" s="5" t="s">
        <v>338</v>
      </c>
      <c r="E22" s="5" t="s">
        <v>351</v>
      </c>
      <c r="F22" s="5" t="s">
        <v>226</v>
      </c>
      <c r="G22" s="5" t="s">
        <v>227</v>
      </c>
      <c r="H22" s="5" t="s">
        <v>352</v>
      </c>
      <c r="I22" s="5" t="s">
        <v>353</v>
      </c>
      <c r="J22" s="5" t="s">
        <v>9</v>
      </c>
      <c r="K22" s="15" t="s">
        <v>9</v>
      </c>
      <c r="L22" s="5" t="s">
        <v>240</v>
      </c>
      <c r="M22" s="5" t="s">
        <v>241</v>
      </c>
      <c r="N22" s="5" t="s">
        <v>354</v>
      </c>
      <c r="O22" s="5" t="s">
        <v>43</v>
      </c>
      <c r="P22" s="5" t="s">
        <v>43</v>
      </c>
      <c r="Q22" s="5" t="s">
        <v>355</v>
      </c>
    </row>
    <row r="23" customFormat="false" ht="22.35" hidden="false" customHeight="false" outlineLevel="0" collapsed="false">
      <c r="A23" s="5" t="n">
        <v>22</v>
      </c>
      <c r="B23" s="5" t="s">
        <v>18</v>
      </c>
      <c r="C23" s="5" t="s">
        <v>356</v>
      </c>
      <c r="D23" s="5" t="s">
        <v>357</v>
      </c>
      <c r="E23" s="5" t="s">
        <v>358</v>
      </c>
      <c r="F23" s="5" t="s">
        <v>226</v>
      </c>
      <c r="G23" s="5" t="s">
        <v>227</v>
      </c>
      <c r="H23" s="5" t="s">
        <v>359</v>
      </c>
      <c r="I23" s="5" t="s">
        <v>360</v>
      </c>
      <c r="J23" s="5" t="s">
        <v>9</v>
      </c>
      <c r="K23" s="15" t="s">
        <v>9</v>
      </c>
      <c r="L23" s="5" t="s">
        <v>240</v>
      </c>
      <c r="M23" s="5" t="s">
        <v>241</v>
      </c>
      <c r="N23" s="5" t="s">
        <v>361</v>
      </c>
      <c r="O23" s="5" t="s">
        <v>43</v>
      </c>
      <c r="P23" s="5" t="s">
        <v>43</v>
      </c>
      <c r="Q23" s="5" t="s">
        <v>355</v>
      </c>
    </row>
    <row r="24" customFormat="false" ht="32.8" hidden="false" customHeight="false" outlineLevel="0" collapsed="false">
      <c r="A24" s="5" t="n">
        <v>23</v>
      </c>
      <c r="B24" s="5" t="s">
        <v>18</v>
      </c>
      <c r="C24" s="5" t="s">
        <v>362</v>
      </c>
      <c r="D24" s="5" t="s">
        <v>357</v>
      </c>
      <c r="E24" s="5" t="s">
        <v>363</v>
      </c>
      <c r="F24" s="5" t="s">
        <v>246</v>
      </c>
      <c r="G24" s="5" t="s">
        <v>247</v>
      </c>
      <c r="H24" s="5" t="s">
        <v>364</v>
      </c>
      <c r="I24" s="5" t="s">
        <v>365</v>
      </c>
      <c r="J24" s="5" t="s">
        <v>10</v>
      </c>
      <c r="K24" s="16" t="s">
        <v>11</v>
      </c>
      <c r="L24" s="5" t="s">
        <v>230</v>
      </c>
      <c r="M24" s="5" t="s">
        <v>366</v>
      </c>
      <c r="N24" s="5" t="s">
        <v>367</v>
      </c>
      <c r="O24" s="5" t="s">
        <v>368</v>
      </c>
      <c r="P24" s="5" t="s">
        <v>369</v>
      </c>
      <c r="Q24" s="5" t="s">
        <v>370</v>
      </c>
    </row>
    <row r="25" customFormat="false" ht="15" hidden="false" customHeight="false" outlineLevel="0" collapsed="false">
      <c r="A25" s="5" t="n">
        <v>24</v>
      </c>
      <c r="B25" s="5" t="s">
        <v>18</v>
      </c>
      <c r="C25" s="5" t="s">
        <v>371</v>
      </c>
      <c r="D25" s="5" t="s">
        <v>372</v>
      </c>
      <c r="E25" s="5" t="s">
        <v>373</v>
      </c>
      <c r="F25" s="5" t="s">
        <v>226</v>
      </c>
      <c r="G25" s="5" t="s">
        <v>227</v>
      </c>
      <c r="H25" s="5" t="s">
        <v>374</v>
      </c>
      <c r="I25" s="5" t="s">
        <v>375</v>
      </c>
      <c r="J25" s="5" t="s">
        <v>9</v>
      </c>
      <c r="K25" s="15" t="s">
        <v>9</v>
      </c>
      <c r="L25" s="5" t="s">
        <v>240</v>
      </c>
      <c r="M25" s="5" t="s">
        <v>241</v>
      </c>
      <c r="N25" s="5" t="s">
        <v>43</v>
      </c>
      <c r="O25" s="5" t="s">
        <v>43</v>
      </c>
      <c r="P25" s="5" t="s">
        <v>43</v>
      </c>
      <c r="Q25" s="5" t="s">
        <v>43</v>
      </c>
    </row>
    <row r="26" customFormat="false" ht="22.35" hidden="false" customHeight="false" outlineLevel="0" collapsed="false">
      <c r="A26" s="5" t="n">
        <v>25</v>
      </c>
      <c r="B26" s="5" t="s">
        <v>18</v>
      </c>
      <c r="C26" s="5" t="s">
        <v>376</v>
      </c>
      <c r="D26" s="5" t="s">
        <v>372</v>
      </c>
      <c r="E26" s="5" t="s">
        <v>377</v>
      </c>
      <c r="F26" s="5" t="s">
        <v>246</v>
      </c>
      <c r="G26" s="5" t="s">
        <v>247</v>
      </c>
      <c r="H26" s="5" t="s">
        <v>378</v>
      </c>
      <c r="I26" s="5" t="s">
        <v>379</v>
      </c>
      <c r="J26" s="5" t="s">
        <v>9</v>
      </c>
      <c r="K26" s="15" t="s">
        <v>9</v>
      </c>
      <c r="L26" s="5" t="s">
        <v>240</v>
      </c>
      <c r="M26" s="5" t="s">
        <v>241</v>
      </c>
      <c r="N26" s="5" t="s">
        <v>43</v>
      </c>
      <c r="O26" s="5" t="s">
        <v>43</v>
      </c>
      <c r="P26" s="5" t="s">
        <v>43</v>
      </c>
      <c r="Q26" s="5" t="s">
        <v>43</v>
      </c>
    </row>
    <row r="27" customFormat="false" ht="53.7" hidden="false" customHeight="false" outlineLevel="0" collapsed="false">
      <c r="A27" s="5" t="n">
        <v>26</v>
      </c>
      <c r="B27" s="5" t="s">
        <v>18</v>
      </c>
      <c r="C27" s="5" t="s">
        <v>380</v>
      </c>
      <c r="D27" s="5" t="s">
        <v>381</v>
      </c>
      <c r="E27" s="5" t="s">
        <v>382</v>
      </c>
      <c r="F27" s="5" t="s">
        <v>226</v>
      </c>
      <c r="G27" s="5" t="s">
        <v>227</v>
      </c>
      <c r="H27" s="5" t="s">
        <v>383</v>
      </c>
      <c r="I27" s="5" t="s">
        <v>384</v>
      </c>
      <c r="J27" s="5" t="s">
        <v>9</v>
      </c>
      <c r="K27" s="15" t="s">
        <v>9</v>
      </c>
      <c r="L27" s="5" t="s">
        <v>240</v>
      </c>
      <c r="M27" s="5" t="s">
        <v>241</v>
      </c>
      <c r="N27" s="5" t="s">
        <v>385</v>
      </c>
      <c r="O27" s="5" t="s">
        <v>43</v>
      </c>
      <c r="P27" s="5" t="s">
        <v>43</v>
      </c>
      <c r="Q27" s="5" t="s">
        <v>386</v>
      </c>
    </row>
    <row r="28" customFormat="false" ht="53.7" hidden="false" customHeight="false" outlineLevel="0" collapsed="false">
      <c r="A28" s="5" t="n">
        <v>27</v>
      </c>
      <c r="B28" s="5" t="s">
        <v>18</v>
      </c>
      <c r="C28" s="5" t="s">
        <v>387</v>
      </c>
      <c r="D28" s="5" t="s">
        <v>381</v>
      </c>
      <c r="E28" s="5" t="s">
        <v>388</v>
      </c>
      <c r="F28" s="5" t="s">
        <v>226</v>
      </c>
      <c r="G28" s="5" t="s">
        <v>227</v>
      </c>
      <c r="H28" s="5" t="s">
        <v>389</v>
      </c>
      <c r="I28" s="5" t="s">
        <v>390</v>
      </c>
      <c r="J28" s="5" t="s">
        <v>10</v>
      </c>
      <c r="K28" s="17" t="s">
        <v>10</v>
      </c>
      <c r="L28" s="5" t="s">
        <v>391</v>
      </c>
      <c r="M28" s="5" t="s">
        <v>392</v>
      </c>
      <c r="N28" s="5" t="s">
        <v>393</v>
      </c>
      <c r="O28" s="5" t="s">
        <v>394</v>
      </c>
      <c r="P28" s="5" t="s">
        <v>43</v>
      </c>
      <c r="Q28" s="5" t="s">
        <v>395</v>
      </c>
    </row>
    <row r="29" customFormat="false" ht="32.8" hidden="false" customHeight="false" outlineLevel="0" collapsed="false">
      <c r="A29" s="5" t="n">
        <v>28</v>
      </c>
      <c r="B29" s="5" t="s">
        <v>18</v>
      </c>
      <c r="C29" s="5" t="s">
        <v>396</v>
      </c>
      <c r="D29" s="5" t="s">
        <v>397</v>
      </c>
      <c r="E29" s="5" t="s">
        <v>398</v>
      </c>
      <c r="F29" s="5" t="s">
        <v>226</v>
      </c>
      <c r="G29" s="5" t="s">
        <v>227</v>
      </c>
      <c r="H29" s="5" t="s">
        <v>399</v>
      </c>
      <c r="I29" s="5" t="s">
        <v>400</v>
      </c>
      <c r="J29" s="5" t="s">
        <v>10</v>
      </c>
      <c r="K29" s="16" t="s">
        <v>11</v>
      </c>
      <c r="L29" s="5" t="s">
        <v>230</v>
      </c>
      <c r="M29" s="5" t="s">
        <v>241</v>
      </c>
      <c r="N29" s="5" t="s">
        <v>401</v>
      </c>
      <c r="O29" s="5" t="s">
        <v>402</v>
      </c>
      <c r="P29" s="5" t="s">
        <v>403</v>
      </c>
      <c r="Q29" s="5" t="s">
        <v>404</v>
      </c>
    </row>
    <row r="30" customFormat="false" ht="15" hidden="false" customHeight="false" outlineLevel="0" collapsed="false">
      <c r="A30" s="5" t="n">
        <v>29</v>
      </c>
      <c r="B30" s="5" t="s">
        <v>18</v>
      </c>
      <c r="C30" s="5" t="s">
        <v>405</v>
      </c>
      <c r="D30" s="5" t="s">
        <v>397</v>
      </c>
      <c r="E30" s="5" t="s">
        <v>406</v>
      </c>
      <c r="F30" s="5" t="s">
        <v>246</v>
      </c>
      <c r="G30" s="5" t="s">
        <v>247</v>
      </c>
      <c r="H30" s="5" t="s">
        <v>407</v>
      </c>
      <c r="I30" s="5" t="s">
        <v>408</v>
      </c>
      <c r="J30" s="5" t="s">
        <v>9</v>
      </c>
      <c r="K30" s="15" t="s">
        <v>9</v>
      </c>
      <c r="L30" s="5" t="s">
        <v>240</v>
      </c>
      <c r="M30" s="5" t="s">
        <v>241</v>
      </c>
      <c r="N30" s="5" t="s">
        <v>43</v>
      </c>
      <c r="O30" s="5" t="s">
        <v>43</v>
      </c>
      <c r="P30" s="5" t="s">
        <v>43</v>
      </c>
      <c r="Q30" s="5" t="s">
        <v>43</v>
      </c>
    </row>
    <row r="31" customFormat="false" ht="32.8" hidden="false" customHeight="false" outlineLevel="0" collapsed="false">
      <c r="A31" s="5" t="n">
        <v>30</v>
      </c>
      <c r="B31" s="5" t="s">
        <v>18</v>
      </c>
      <c r="C31" s="5" t="s">
        <v>409</v>
      </c>
      <c r="D31" s="5" t="s">
        <v>397</v>
      </c>
      <c r="E31" s="5" t="s">
        <v>410</v>
      </c>
      <c r="F31" s="5" t="s">
        <v>246</v>
      </c>
      <c r="G31" s="5" t="s">
        <v>247</v>
      </c>
      <c r="H31" s="5" t="s">
        <v>411</v>
      </c>
      <c r="I31" s="5" t="s">
        <v>412</v>
      </c>
      <c r="J31" s="5" t="s">
        <v>9</v>
      </c>
      <c r="K31" s="15" t="s">
        <v>9</v>
      </c>
      <c r="L31" s="5" t="s">
        <v>240</v>
      </c>
      <c r="M31" s="5" t="s">
        <v>241</v>
      </c>
      <c r="N31" s="5" t="s">
        <v>413</v>
      </c>
      <c r="O31" s="5" t="s">
        <v>43</v>
      </c>
      <c r="P31" s="5" t="s">
        <v>43</v>
      </c>
      <c r="Q31" s="5" t="s">
        <v>414</v>
      </c>
    </row>
    <row r="32" customFormat="false" ht="22.35" hidden="false" customHeight="false" outlineLevel="0" collapsed="false">
      <c r="A32" s="5" t="n">
        <v>31</v>
      </c>
      <c r="B32" s="5" t="s">
        <v>18</v>
      </c>
      <c r="C32" s="5" t="s">
        <v>173</v>
      </c>
      <c r="D32" s="5" t="s">
        <v>397</v>
      </c>
      <c r="E32" s="5" t="s">
        <v>415</v>
      </c>
      <c r="F32" s="5" t="s">
        <v>226</v>
      </c>
      <c r="G32" s="5" t="s">
        <v>227</v>
      </c>
      <c r="H32" s="5" t="s">
        <v>416</v>
      </c>
      <c r="I32" s="5" t="s">
        <v>417</v>
      </c>
      <c r="J32" s="5" t="s">
        <v>9</v>
      </c>
      <c r="K32" s="15" t="s">
        <v>9</v>
      </c>
      <c r="L32" s="5" t="s">
        <v>240</v>
      </c>
      <c r="M32" s="5" t="s">
        <v>241</v>
      </c>
      <c r="N32" s="5" t="s">
        <v>418</v>
      </c>
      <c r="O32" s="5" t="s">
        <v>419</v>
      </c>
      <c r="P32" s="5" t="s">
        <v>43</v>
      </c>
      <c r="Q32" s="5" t="s">
        <v>420</v>
      </c>
    </row>
    <row r="33" customFormat="false" ht="15" hidden="false" customHeight="false" outlineLevel="0" collapsed="false">
      <c r="A33" s="5" t="n">
        <v>32</v>
      </c>
      <c r="B33" s="5" t="s">
        <v>18</v>
      </c>
      <c r="C33" s="5" t="s">
        <v>421</v>
      </c>
      <c r="D33" s="5" t="s">
        <v>422</v>
      </c>
      <c r="E33" s="5" t="s">
        <v>423</v>
      </c>
      <c r="F33" s="5" t="s">
        <v>226</v>
      </c>
      <c r="G33" s="5" t="s">
        <v>227</v>
      </c>
      <c r="H33" s="5" t="s">
        <v>424</v>
      </c>
      <c r="I33" s="5" t="s">
        <v>425</v>
      </c>
      <c r="J33" s="5" t="s">
        <v>9</v>
      </c>
      <c r="K33" s="15" t="s">
        <v>9</v>
      </c>
      <c r="L33" s="5" t="s">
        <v>240</v>
      </c>
      <c r="M33" s="5" t="s">
        <v>241</v>
      </c>
      <c r="N33" s="5" t="s">
        <v>43</v>
      </c>
      <c r="O33" s="5" t="s">
        <v>43</v>
      </c>
      <c r="P33" s="5" t="s">
        <v>43</v>
      </c>
      <c r="Q33" s="5" t="s">
        <v>43</v>
      </c>
    </row>
    <row r="34" customFormat="false" ht="53.7" hidden="false" customHeight="false" outlineLevel="0" collapsed="false">
      <c r="A34" s="5" t="n">
        <v>33</v>
      </c>
      <c r="B34" s="5" t="s">
        <v>18</v>
      </c>
      <c r="C34" s="5" t="s">
        <v>426</v>
      </c>
      <c r="D34" s="5" t="s">
        <v>422</v>
      </c>
      <c r="E34" s="5" t="s">
        <v>427</v>
      </c>
      <c r="F34" s="5" t="s">
        <v>226</v>
      </c>
      <c r="G34" s="5" t="s">
        <v>227</v>
      </c>
      <c r="H34" s="5" t="s">
        <v>428</v>
      </c>
      <c r="I34" s="5" t="s">
        <v>429</v>
      </c>
      <c r="J34" s="5" t="s">
        <v>10</v>
      </c>
      <c r="K34" s="15" t="s">
        <v>9</v>
      </c>
      <c r="L34" s="5" t="s">
        <v>275</v>
      </c>
      <c r="M34" s="5" t="s">
        <v>430</v>
      </c>
      <c r="N34" s="5" t="s">
        <v>431</v>
      </c>
      <c r="O34" s="5" t="s">
        <v>43</v>
      </c>
      <c r="P34" s="5" t="s">
        <v>43</v>
      </c>
      <c r="Q34" s="5" t="s">
        <v>432</v>
      </c>
    </row>
    <row r="35" customFormat="false" ht="32.8" hidden="false" customHeight="false" outlineLevel="0" collapsed="false">
      <c r="A35" s="5" t="n">
        <v>34</v>
      </c>
      <c r="B35" s="5" t="s">
        <v>18</v>
      </c>
      <c r="C35" s="5" t="s">
        <v>433</v>
      </c>
      <c r="D35" s="5" t="s">
        <v>422</v>
      </c>
      <c r="E35" s="5" t="s">
        <v>434</v>
      </c>
      <c r="F35" s="5" t="s">
        <v>226</v>
      </c>
      <c r="G35" s="5" t="s">
        <v>227</v>
      </c>
      <c r="H35" s="5" t="s">
        <v>435</v>
      </c>
      <c r="I35" s="5" t="s">
        <v>436</v>
      </c>
      <c r="J35" s="5" t="s">
        <v>9</v>
      </c>
      <c r="K35" s="15" t="s">
        <v>9</v>
      </c>
      <c r="L35" s="5" t="s">
        <v>240</v>
      </c>
      <c r="M35" s="5" t="s">
        <v>241</v>
      </c>
      <c r="N35" s="5" t="s">
        <v>437</v>
      </c>
      <c r="O35" s="5" t="s">
        <v>438</v>
      </c>
      <c r="P35" s="5" t="s">
        <v>43</v>
      </c>
      <c r="Q35" s="5" t="s">
        <v>439</v>
      </c>
    </row>
    <row r="36" customFormat="false" ht="22.35" hidden="false" customHeight="false" outlineLevel="0" collapsed="false">
      <c r="A36" s="5" t="n">
        <v>35</v>
      </c>
      <c r="B36" s="5" t="s">
        <v>18</v>
      </c>
      <c r="C36" s="5" t="s">
        <v>440</v>
      </c>
      <c r="D36" s="5" t="s">
        <v>422</v>
      </c>
      <c r="E36" s="5" t="s">
        <v>441</v>
      </c>
      <c r="F36" s="5" t="s">
        <v>246</v>
      </c>
      <c r="G36" s="5" t="s">
        <v>227</v>
      </c>
      <c r="H36" s="5" t="s">
        <v>442</v>
      </c>
      <c r="I36" s="5" t="s">
        <v>443</v>
      </c>
      <c r="J36" s="5" t="s">
        <v>9</v>
      </c>
      <c r="K36" s="15" t="s">
        <v>9</v>
      </c>
      <c r="L36" s="5" t="s">
        <v>240</v>
      </c>
      <c r="M36" s="5" t="s">
        <v>241</v>
      </c>
      <c r="N36" s="5" t="s">
        <v>444</v>
      </c>
      <c r="O36" s="5" t="s">
        <v>43</v>
      </c>
      <c r="P36" s="5" t="s">
        <v>43</v>
      </c>
      <c r="Q36" s="5" t="s">
        <v>445</v>
      </c>
    </row>
    <row r="37" customFormat="false" ht="22.35" hidden="false" customHeight="false" outlineLevel="0" collapsed="false">
      <c r="A37" s="5" t="n">
        <v>36</v>
      </c>
      <c r="B37" s="5" t="s">
        <v>18</v>
      </c>
      <c r="C37" s="5" t="s">
        <v>82</v>
      </c>
      <c r="D37" s="5" t="s">
        <v>422</v>
      </c>
      <c r="E37" s="5" t="s">
        <v>446</v>
      </c>
      <c r="F37" s="5" t="s">
        <v>226</v>
      </c>
      <c r="G37" s="5" t="s">
        <v>227</v>
      </c>
      <c r="H37" s="5" t="s">
        <v>447</v>
      </c>
      <c r="I37" s="5" t="s">
        <v>448</v>
      </c>
      <c r="J37" s="5" t="s">
        <v>9</v>
      </c>
      <c r="K37" s="15" t="s">
        <v>9</v>
      </c>
      <c r="L37" s="5" t="s">
        <v>240</v>
      </c>
      <c r="M37" s="5" t="s">
        <v>241</v>
      </c>
      <c r="N37" s="5" t="s">
        <v>449</v>
      </c>
      <c r="O37" s="5" t="s">
        <v>450</v>
      </c>
      <c r="P37" s="5" t="s">
        <v>43</v>
      </c>
      <c r="Q37" s="5" t="s">
        <v>451</v>
      </c>
    </row>
    <row r="38" customFormat="false" ht="15" hidden="false" customHeight="false" outlineLevel="0" collapsed="false">
      <c r="A38" s="5" t="n">
        <v>37</v>
      </c>
      <c r="B38" s="5" t="s">
        <v>18</v>
      </c>
      <c r="C38" s="5" t="s">
        <v>452</v>
      </c>
      <c r="D38" s="5" t="s">
        <v>453</v>
      </c>
      <c r="E38" s="5" t="s">
        <v>454</v>
      </c>
      <c r="F38" s="5" t="s">
        <v>226</v>
      </c>
      <c r="G38" s="5" t="s">
        <v>227</v>
      </c>
      <c r="H38" s="5" t="s">
        <v>455</v>
      </c>
      <c r="I38" s="5" t="s">
        <v>456</v>
      </c>
      <c r="J38" s="5" t="s">
        <v>9</v>
      </c>
      <c r="K38" s="15" t="s">
        <v>9</v>
      </c>
      <c r="L38" s="5" t="s">
        <v>240</v>
      </c>
      <c r="M38" s="5" t="s">
        <v>241</v>
      </c>
      <c r="N38" s="5" t="s">
        <v>43</v>
      </c>
      <c r="O38" s="5" t="s">
        <v>43</v>
      </c>
      <c r="P38" s="5" t="s">
        <v>43</v>
      </c>
      <c r="Q38" s="5" t="s">
        <v>43</v>
      </c>
    </row>
    <row r="39" customFormat="false" ht="22.35" hidden="false" customHeight="false" outlineLevel="0" collapsed="false">
      <c r="A39" s="5" t="n">
        <v>38</v>
      </c>
      <c r="B39" s="5" t="s">
        <v>18</v>
      </c>
      <c r="C39" s="5" t="s">
        <v>457</v>
      </c>
      <c r="D39" s="5" t="s">
        <v>453</v>
      </c>
      <c r="E39" s="5" t="s">
        <v>458</v>
      </c>
      <c r="F39" s="5" t="s">
        <v>226</v>
      </c>
      <c r="G39" s="5" t="s">
        <v>227</v>
      </c>
      <c r="H39" s="5" t="s">
        <v>459</v>
      </c>
      <c r="I39" s="5" t="s">
        <v>460</v>
      </c>
      <c r="J39" s="5" t="s">
        <v>9</v>
      </c>
      <c r="K39" s="15" t="s">
        <v>9</v>
      </c>
      <c r="L39" s="5" t="s">
        <v>240</v>
      </c>
      <c r="M39" s="5" t="s">
        <v>241</v>
      </c>
      <c r="N39" s="5" t="s">
        <v>43</v>
      </c>
      <c r="O39" s="5" t="s">
        <v>43</v>
      </c>
      <c r="P39" s="5" t="s">
        <v>43</v>
      </c>
      <c r="Q39" s="5" t="s">
        <v>43</v>
      </c>
    </row>
    <row r="40" customFormat="false" ht="32.8" hidden="false" customHeight="false" outlineLevel="0" collapsed="false">
      <c r="A40" s="5" t="n">
        <v>39</v>
      </c>
      <c r="B40" s="5" t="s">
        <v>18</v>
      </c>
      <c r="C40" s="5" t="s">
        <v>461</v>
      </c>
      <c r="D40" s="5" t="s">
        <v>453</v>
      </c>
      <c r="E40" s="5" t="s">
        <v>462</v>
      </c>
      <c r="F40" s="5" t="s">
        <v>226</v>
      </c>
      <c r="G40" s="5" t="s">
        <v>227</v>
      </c>
      <c r="H40" s="5" t="s">
        <v>463</v>
      </c>
      <c r="I40" s="5" t="s">
        <v>464</v>
      </c>
      <c r="J40" s="5" t="s">
        <v>9</v>
      </c>
      <c r="K40" s="15" t="s">
        <v>9</v>
      </c>
      <c r="L40" s="5" t="s">
        <v>240</v>
      </c>
      <c r="M40" s="5" t="s">
        <v>241</v>
      </c>
      <c r="N40" s="5" t="s">
        <v>465</v>
      </c>
      <c r="O40" s="5" t="s">
        <v>43</v>
      </c>
      <c r="P40" s="5" t="s">
        <v>43</v>
      </c>
      <c r="Q40" s="5" t="s">
        <v>466</v>
      </c>
    </row>
    <row r="41" customFormat="false" ht="22.35" hidden="false" customHeight="false" outlineLevel="0" collapsed="false">
      <c r="A41" s="5" t="n">
        <v>40</v>
      </c>
      <c r="B41" s="5" t="s">
        <v>18</v>
      </c>
      <c r="C41" s="5" t="s">
        <v>467</v>
      </c>
      <c r="D41" s="5" t="s">
        <v>453</v>
      </c>
      <c r="E41" s="5" t="s">
        <v>468</v>
      </c>
      <c r="F41" s="5" t="s">
        <v>226</v>
      </c>
      <c r="G41" s="5" t="s">
        <v>227</v>
      </c>
      <c r="H41" s="5" t="s">
        <v>469</v>
      </c>
      <c r="I41" s="5" t="s">
        <v>470</v>
      </c>
      <c r="J41" s="5" t="s">
        <v>9</v>
      </c>
      <c r="K41" s="15" t="s">
        <v>9</v>
      </c>
      <c r="L41" s="5" t="s">
        <v>240</v>
      </c>
      <c r="M41" s="5" t="s">
        <v>241</v>
      </c>
      <c r="N41" s="5" t="s">
        <v>471</v>
      </c>
      <c r="O41" s="5" t="s">
        <v>43</v>
      </c>
      <c r="P41" s="5" t="s">
        <v>43</v>
      </c>
      <c r="Q41" s="5" t="s">
        <v>472</v>
      </c>
    </row>
    <row r="42" customFormat="false" ht="15" hidden="false" customHeight="false" outlineLevel="0" collapsed="false">
      <c r="A42" s="5" t="n">
        <v>41</v>
      </c>
      <c r="B42" s="5" t="s">
        <v>18</v>
      </c>
      <c r="C42" s="5" t="s">
        <v>107</v>
      </c>
      <c r="D42" s="5" t="s">
        <v>453</v>
      </c>
      <c r="E42" s="5" t="s">
        <v>473</v>
      </c>
      <c r="F42" s="5" t="s">
        <v>226</v>
      </c>
      <c r="G42" s="5" t="s">
        <v>227</v>
      </c>
      <c r="H42" s="5" t="s">
        <v>474</v>
      </c>
      <c r="I42" s="5" t="s">
        <v>475</v>
      </c>
      <c r="J42" s="5" t="s">
        <v>9</v>
      </c>
      <c r="K42" s="15" t="s">
        <v>9</v>
      </c>
      <c r="L42" s="5" t="s">
        <v>240</v>
      </c>
      <c r="M42" s="5" t="s">
        <v>241</v>
      </c>
      <c r="N42" s="5" t="s">
        <v>476</v>
      </c>
      <c r="O42" s="5" t="s">
        <v>477</v>
      </c>
      <c r="P42" s="5" t="s">
        <v>43</v>
      </c>
      <c r="Q42" s="5" t="s">
        <v>478</v>
      </c>
    </row>
    <row r="43" customFormat="false" ht="53.7" hidden="false" customHeight="false" outlineLevel="0" collapsed="false">
      <c r="A43" s="5" t="n">
        <v>42</v>
      </c>
      <c r="B43" s="5" t="s">
        <v>18</v>
      </c>
      <c r="C43" s="5" t="s">
        <v>479</v>
      </c>
      <c r="D43" s="5" t="s">
        <v>453</v>
      </c>
      <c r="E43" s="5" t="s">
        <v>480</v>
      </c>
      <c r="F43" s="5" t="s">
        <v>226</v>
      </c>
      <c r="G43" s="5" t="s">
        <v>227</v>
      </c>
      <c r="H43" s="5" t="s">
        <v>481</v>
      </c>
      <c r="I43" s="5" t="s">
        <v>482</v>
      </c>
      <c r="J43" s="5" t="s">
        <v>9</v>
      </c>
      <c r="K43" s="15" t="s">
        <v>9</v>
      </c>
      <c r="L43" s="5" t="s">
        <v>240</v>
      </c>
      <c r="M43" s="5" t="s">
        <v>241</v>
      </c>
      <c r="N43" s="5" t="s">
        <v>483</v>
      </c>
      <c r="O43" s="5" t="s">
        <v>43</v>
      </c>
      <c r="P43" s="5" t="s">
        <v>43</v>
      </c>
      <c r="Q43" s="5" t="s">
        <v>484</v>
      </c>
    </row>
    <row r="44" customFormat="false" ht="32.8" hidden="false" customHeight="false" outlineLevel="0" collapsed="false">
      <c r="A44" s="5" t="n">
        <v>43</v>
      </c>
      <c r="B44" s="5" t="s">
        <v>18</v>
      </c>
      <c r="C44" s="5" t="s">
        <v>118</v>
      </c>
      <c r="D44" s="5" t="s">
        <v>453</v>
      </c>
      <c r="E44" s="5" t="s">
        <v>485</v>
      </c>
      <c r="F44" s="5" t="s">
        <v>226</v>
      </c>
      <c r="G44" s="5" t="s">
        <v>227</v>
      </c>
      <c r="H44" s="5" t="s">
        <v>486</v>
      </c>
      <c r="I44" s="5" t="s">
        <v>487</v>
      </c>
      <c r="J44" s="5" t="s">
        <v>9</v>
      </c>
      <c r="K44" s="15" t="s">
        <v>9</v>
      </c>
      <c r="L44" s="5" t="s">
        <v>240</v>
      </c>
      <c r="M44" s="5" t="s">
        <v>241</v>
      </c>
      <c r="N44" s="5" t="s">
        <v>488</v>
      </c>
      <c r="O44" s="5" t="s">
        <v>489</v>
      </c>
      <c r="P44" s="5" t="s">
        <v>43</v>
      </c>
      <c r="Q44" s="5" t="s">
        <v>490</v>
      </c>
    </row>
    <row r="45" customFormat="false" ht="22.35" hidden="false" customHeight="false" outlineLevel="0" collapsed="false">
      <c r="A45" s="5" t="n">
        <v>44</v>
      </c>
      <c r="B45" s="5" t="s">
        <v>18</v>
      </c>
      <c r="C45" s="5" t="s">
        <v>491</v>
      </c>
      <c r="D45" s="5" t="s">
        <v>121</v>
      </c>
      <c r="E45" s="5" t="s">
        <v>492</v>
      </c>
      <c r="F45" s="5" t="s">
        <v>246</v>
      </c>
      <c r="G45" s="5" t="s">
        <v>227</v>
      </c>
      <c r="H45" s="5" t="s">
        <v>493</v>
      </c>
      <c r="I45" s="5" t="s">
        <v>494</v>
      </c>
      <c r="J45" s="5" t="s">
        <v>9</v>
      </c>
      <c r="K45" s="15" t="s">
        <v>9</v>
      </c>
      <c r="L45" s="5" t="s">
        <v>240</v>
      </c>
      <c r="M45" s="5" t="s">
        <v>241</v>
      </c>
      <c r="N45" s="5" t="s">
        <v>495</v>
      </c>
      <c r="O45" s="5" t="s">
        <v>496</v>
      </c>
      <c r="P45" s="5" t="s">
        <v>43</v>
      </c>
      <c r="Q45" s="5" t="s">
        <v>497</v>
      </c>
    </row>
    <row r="46" customFormat="false" ht="15" hidden="false" customHeight="false" outlineLevel="0" collapsed="false">
      <c r="A46" s="5" t="n">
        <v>45</v>
      </c>
      <c r="B46" s="5" t="s">
        <v>18</v>
      </c>
      <c r="C46" s="5" t="s">
        <v>498</v>
      </c>
      <c r="D46" s="5" t="s">
        <v>121</v>
      </c>
      <c r="E46" s="5" t="s">
        <v>499</v>
      </c>
      <c r="F46" s="5" t="s">
        <v>226</v>
      </c>
      <c r="G46" s="5" t="s">
        <v>227</v>
      </c>
      <c r="H46" s="5" t="s">
        <v>500</v>
      </c>
      <c r="I46" s="5" t="s">
        <v>501</v>
      </c>
      <c r="J46" s="5" t="s">
        <v>9</v>
      </c>
      <c r="K46" s="15" t="s">
        <v>9</v>
      </c>
      <c r="L46" s="5" t="s">
        <v>240</v>
      </c>
      <c r="M46" s="5" t="s">
        <v>241</v>
      </c>
      <c r="N46" s="5" t="s">
        <v>502</v>
      </c>
      <c r="O46" s="5" t="s">
        <v>43</v>
      </c>
      <c r="P46" s="5" t="s">
        <v>43</v>
      </c>
      <c r="Q46" s="5" t="s">
        <v>503</v>
      </c>
    </row>
    <row r="47" customFormat="false" ht="22.35" hidden="false" customHeight="false" outlineLevel="0" collapsed="false">
      <c r="A47" s="5" t="n">
        <v>46</v>
      </c>
      <c r="B47" s="5" t="s">
        <v>18</v>
      </c>
      <c r="C47" s="5" t="s">
        <v>129</v>
      </c>
      <c r="D47" s="5" t="s">
        <v>121</v>
      </c>
      <c r="E47" s="5" t="s">
        <v>128</v>
      </c>
      <c r="F47" s="5" t="s">
        <v>246</v>
      </c>
      <c r="G47" s="5" t="s">
        <v>247</v>
      </c>
      <c r="H47" s="5" t="s">
        <v>504</v>
      </c>
      <c r="I47" s="5" t="s">
        <v>505</v>
      </c>
      <c r="J47" s="5" t="s">
        <v>9</v>
      </c>
      <c r="K47" s="15" t="s">
        <v>9</v>
      </c>
      <c r="L47" s="5" t="s">
        <v>240</v>
      </c>
      <c r="M47" s="5" t="s">
        <v>241</v>
      </c>
      <c r="N47" s="5" t="s">
        <v>506</v>
      </c>
      <c r="O47" s="5" t="s">
        <v>43</v>
      </c>
      <c r="P47" s="5" t="s">
        <v>43</v>
      </c>
      <c r="Q47" s="5" t="s">
        <v>264</v>
      </c>
    </row>
    <row r="48" customFormat="false" ht="32.8" hidden="false" customHeight="false" outlineLevel="0" collapsed="false">
      <c r="A48" s="5" t="n">
        <v>47</v>
      </c>
      <c r="B48" s="5" t="s">
        <v>18</v>
      </c>
      <c r="C48" s="5" t="s">
        <v>126</v>
      </c>
      <c r="D48" s="5" t="s">
        <v>121</v>
      </c>
      <c r="E48" s="5" t="s">
        <v>125</v>
      </c>
      <c r="F48" s="5" t="s">
        <v>246</v>
      </c>
      <c r="G48" s="5" t="s">
        <v>227</v>
      </c>
      <c r="H48" s="5" t="s">
        <v>507</v>
      </c>
      <c r="I48" s="5" t="s">
        <v>508</v>
      </c>
      <c r="J48" s="5" t="s">
        <v>9</v>
      </c>
      <c r="K48" s="15" t="s">
        <v>9</v>
      </c>
      <c r="L48" s="5" t="s">
        <v>240</v>
      </c>
      <c r="M48" s="5" t="s">
        <v>241</v>
      </c>
      <c r="N48" s="5" t="s">
        <v>509</v>
      </c>
      <c r="O48" s="5" t="s">
        <v>43</v>
      </c>
      <c r="P48" s="5" t="s">
        <v>43</v>
      </c>
      <c r="Q48" s="5" t="s">
        <v>510</v>
      </c>
    </row>
    <row r="49" customFormat="false" ht="15" hidden="false" customHeight="false" outlineLevel="0" collapsed="false">
      <c r="A49" s="5" t="n">
        <v>48</v>
      </c>
      <c r="B49" s="5" t="s">
        <v>18</v>
      </c>
      <c r="C49" s="5" t="s">
        <v>511</v>
      </c>
      <c r="D49" s="5" t="s">
        <v>512</v>
      </c>
      <c r="E49" s="5" t="s">
        <v>513</v>
      </c>
      <c r="F49" s="5" t="s">
        <v>226</v>
      </c>
      <c r="G49" s="5" t="s">
        <v>227</v>
      </c>
      <c r="H49" s="5" t="s">
        <v>514</v>
      </c>
      <c r="I49" s="5" t="s">
        <v>515</v>
      </c>
      <c r="J49" s="5" t="s">
        <v>9</v>
      </c>
      <c r="K49" s="15" t="s">
        <v>9</v>
      </c>
      <c r="L49" s="5" t="s">
        <v>240</v>
      </c>
      <c r="M49" s="5" t="s">
        <v>241</v>
      </c>
      <c r="N49" s="5" t="s">
        <v>43</v>
      </c>
      <c r="O49" s="5" t="s">
        <v>43</v>
      </c>
      <c r="P49" s="5" t="s">
        <v>43</v>
      </c>
      <c r="Q49" s="5" t="s">
        <v>43</v>
      </c>
    </row>
    <row r="50" customFormat="false" ht="15" hidden="false" customHeight="false" outlineLevel="0" collapsed="false">
      <c r="A50" s="5" t="n">
        <v>49</v>
      </c>
      <c r="B50" s="5" t="s">
        <v>18</v>
      </c>
      <c r="C50" s="5" t="s">
        <v>516</v>
      </c>
      <c r="D50" s="5" t="s">
        <v>512</v>
      </c>
      <c r="E50" s="5" t="s">
        <v>517</v>
      </c>
      <c r="F50" s="5" t="s">
        <v>246</v>
      </c>
      <c r="G50" s="5" t="s">
        <v>247</v>
      </c>
      <c r="H50" s="5" t="s">
        <v>518</v>
      </c>
      <c r="I50" s="5" t="s">
        <v>519</v>
      </c>
      <c r="J50" s="5" t="s">
        <v>9</v>
      </c>
      <c r="K50" s="15" t="s">
        <v>9</v>
      </c>
      <c r="L50" s="5" t="s">
        <v>240</v>
      </c>
      <c r="M50" s="5" t="s">
        <v>241</v>
      </c>
      <c r="N50" s="5" t="s">
        <v>520</v>
      </c>
      <c r="O50" s="5" t="s">
        <v>43</v>
      </c>
      <c r="P50" s="5" t="s">
        <v>43</v>
      </c>
      <c r="Q50" s="5" t="s">
        <v>521</v>
      </c>
    </row>
    <row r="51" customFormat="false" ht="15" hidden="false" customHeight="false" outlineLevel="0" collapsed="false">
      <c r="A51" s="5" t="n">
        <v>50</v>
      </c>
      <c r="B51" s="5" t="s">
        <v>18</v>
      </c>
      <c r="C51" s="5" t="s">
        <v>160</v>
      </c>
      <c r="D51" s="5" t="s">
        <v>512</v>
      </c>
      <c r="E51" s="5" t="s">
        <v>522</v>
      </c>
      <c r="F51" s="5" t="s">
        <v>226</v>
      </c>
      <c r="G51" s="5" t="s">
        <v>227</v>
      </c>
      <c r="H51" s="5" t="s">
        <v>523</v>
      </c>
      <c r="I51" s="5" t="s">
        <v>524</v>
      </c>
      <c r="J51" s="5" t="s">
        <v>9</v>
      </c>
      <c r="K51" s="15" t="s">
        <v>9</v>
      </c>
      <c r="L51" s="5" t="s">
        <v>240</v>
      </c>
      <c r="M51" s="5" t="s">
        <v>241</v>
      </c>
      <c r="N51" s="5" t="s">
        <v>43</v>
      </c>
      <c r="O51" s="5" t="s">
        <v>43</v>
      </c>
      <c r="P51" s="5" t="s">
        <v>43</v>
      </c>
      <c r="Q51" s="5" t="s">
        <v>43</v>
      </c>
    </row>
    <row r="52" customFormat="false" ht="15" hidden="false" customHeight="false" outlineLevel="0" collapsed="false">
      <c r="A52" s="5" t="n">
        <v>51</v>
      </c>
      <c r="B52" s="5" t="s">
        <v>18</v>
      </c>
      <c r="C52" s="5" t="s">
        <v>154</v>
      </c>
      <c r="D52" s="5" t="s">
        <v>512</v>
      </c>
      <c r="E52" s="5" t="s">
        <v>525</v>
      </c>
      <c r="F52" s="5" t="s">
        <v>226</v>
      </c>
      <c r="G52" s="5" t="s">
        <v>227</v>
      </c>
      <c r="H52" s="5" t="s">
        <v>526</v>
      </c>
      <c r="I52" s="5" t="s">
        <v>527</v>
      </c>
      <c r="J52" s="5" t="s">
        <v>9</v>
      </c>
      <c r="K52" s="15" t="s">
        <v>9</v>
      </c>
      <c r="L52" s="5" t="s">
        <v>240</v>
      </c>
      <c r="M52" s="5" t="s">
        <v>241</v>
      </c>
      <c r="N52" s="5" t="s">
        <v>43</v>
      </c>
      <c r="O52" s="5" t="s">
        <v>43</v>
      </c>
      <c r="P52" s="5" t="s">
        <v>43</v>
      </c>
      <c r="Q52" s="5" t="s">
        <v>43</v>
      </c>
    </row>
    <row r="53" customFormat="false" ht="22.35" hidden="false" customHeight="false" outlineLevel="0" collapsed="false">
      <c r="A53" s="5" t="n">
        <v>52</v>
      </c>
      <c r="B53" s="5" t="s">
        <v>18</v>
      </c>
      <c r="C53" s="5" t="s">
        <v>528</v>
      </c>
      <c r="D53" s="5" t="s">
        <v>529</v>
      </c>
      <c r="E53" s="5" t="s">
        <v>530</v>
      </c>
      <c r="F53" s="5" t="s">
        <v>246</v>
      </c>
      <c r="G53" s="5" t="s">
        <v>247</v>
      </c>
      <c r="H53" s="5" t="s">
        <v>531</v>
      </c>
      <c r="I53" s="5" t="s">
        <v>532</v>
      </c>
      <c r="J53" s="5" t="s">
        <v>9</v>
      </c>
      <c r="K53" s="15" t="s">
        <v>9</v>
      </c>
      <c r="L53" s="5" t="s">
        <v>240</v>
      </c>
      <c r="M53" s="5" t="s">
        <v>241</v>
      </c>
      <c r="N53" s="5" t="s">
        <v>533</v>
      </c>
      <c r="O53" s="5" t="s">
        <v>43</v>
      </c>
      <c r="P53" s="5" t="s">
        <v>43</v>
      </c>
      <c r="Q53" s="5" t="s">
        <v>534</v>
      </c>
    </row>
    <row r="54" customFormat="false" ht="15" hidden="false" customHeight="false" outlineLevel="0" collapsed="false">
      <c r="A54" s="5" t="n">
        <v>53</v>
      </c>
      <c r="B54" s="5" t="s">
        <v>18</v>
      </c>
      <c r="C54" s="5" t="s">
        <v>535</v>
      </c>
      <c r="D54" s="5" t="s">
        <v>529</v>
      </c>
      <c r="E54" s="5" t="s">
        <v>536</v>
      </c>
      <c r="F54" s="5" t="s">
        <v>246</v>
      </c>
      <c r="G54" s="5" t="s">
        <v>247</v>
      </c>
      <c r="H54" s="5" t="s">
        <v>537</v>
      </c>
      <c r="I54" s="5" t="s">
        <v>538</v>
      </c>
      <c r="J54" s="5" t="s">
        <v>9</v>
      </c>
      <c r="K54" s="15" t="s">
        <v>9</v>
      </c>
      <c r="L54" s="5" t="s">
        <v>240</v>
      </c>
      <c r="M54" s="5" t="s">
        <v>241</v>
      </c>
      <c r="N54" s="5" t="s">
        <v>539</v>
      </c>
      <c r="O54" s="5" t="s">
        <v>43</v>
      </c>
      <c r="P54" s="5" t="s">
        <v>43</v>
      </c>
      <c r="Q54" s="5" t="s">
        <v>540</v>
      </c>
    </row>
    <row r="55" customFormat="false" ht="64.15" hidden="false" customHeight="false" outlineLevel="0" collapsed="false">
      <c r="A55" s="5" t="n">
        <v>54</v>
      </c>
      <c r="B55" s="5" t="s">
        <v>18</v>
      </c>
      <c r="C55" s="5" t="s">
        <v>541</v>
      </c>
      <c r="D55" s="5" t="s">
        <v>529</v>
      </c>
      <c r="E55" s="5" t="s">
        <v>542</v>
      </c>
      <c r="F55" s="5" t="s">
        <v>246</v>
      </c>
      <c r="G55" s="5" t="s">
        <v>247</v>
      </c>
      <c r="H55" s="5" t="s">
        <v>543</v>
      </c>
      <c r="I55" s="5" t="s">
        <v>544</v>
      </c>
      <c r="J55" s="5" t="s">
        <v>10</v>
      </c>
      <c r="K55" s="15" t="s">
        <v>9</v>
      </c>
      <c r="L55" s="5" t="s">
        <v>275</v>
      </c>
      <c r="M55" s="5" t="s">
        <v>545</v>
      </c>
      <c r="N55" s="5" t="s">
        <v>546</v>
      </c>
      <c r="O55" s="5" t="s">
        <v>43</v>
      </c>
      <c r="P55" s="5" t="s">
        <v>43</v>
      </c>
      <c r="Q55" s="5" t="s">
        <v>547</v>
      </c>
    </row>
    <row r="56" customFormat="false" ht="43.25" hidden="false" customHeight="false" outlineLevel="0" collapsed="false">
      <c r="A56" s="5" t="n">
        <v>55</v>
      </c>
      <c r="B56" s="5" t="s">
        <v>18</v>
      </c>
      <c r="C56" s="5" t="s">
        <v>548</v>
      </c>
      <c r="D56" s="5" t="s">
        <v>549</v>
      </c>
      <c r="E56" s="5" t="s">
        <v>550</v>
      </c>
      <c r="F56" s="5" t="s">
        <v>226</v>
      </c>
      <c r="G56" s="5" t="s">
        <v>227</v>
      </c>
      <c r="H56" s="5" t="s">
        <v>551</v>
      </c>
      <c r="I56" s="5" t="s">
        <v>552</v>
      </c>
      <c r="J56" s="5" t="s">
        <v>9</v>
      </c>
      <c r="K56" s="15" t="s">
        <v>9</v>
      </c>
      <c r="L56" s="5" t="s">
        <v>240</v>
      </c>
      <c r="M56" s="5" t="s">
        <v>241</v>
      </c>
      <c r="N56" s="5" t="s">
        <v>553</v>
      </c>
      <c r="O56" s="5" t="s">
        <v>554</v>
      </c>
      <c r="P56" s="5" t="s">
        <v>43</v>
      </c>
      <c r="Q56" s="5" t="s">
        <v>555</v>
      </c>
    </row>
    <row r="57" customFormat="false" ht="15" hidden="false" customHeight="false" outlineLevel="0" collapsed="false">
      <c r="A57" s="5" t="n">
        <v>56</v>
      </c>
      <c r="B57" s="5" t="s">
        <v>18</v>
      </c>
      <c r="C57" s="5" t="s">
        <v>556</v>
      </c>
      <c r="D57" s="5" t="s">
        <v>557</v>
      </c>
      <c r="E57" s="5" t="s">
        <v>558</v>
      </c>
      <c r="F57" s="5" t="s">
        <v>226</v>
      </c>
      <c r="G57" s="5" t="s">
        <v>227</v>
      </c>
      <c r="H57" s="5" t="s">
        <v>559</v>
      </c>
      <c r="I57" s="5" t="s">
        <v>560</v>
      </c>
      <c r="J57" s="5" t="s">
        <v>9</v>
      </c>
      <c r="K57" s="15" t="s">
        <v>9</v>
      </c>
      <c r="L57" s="5" t="s">
        <v>240</v>
      </c>
      <c r="M57" s="5" t="s">
        <v>241</v>
      </c>
      <c r="N57" s="5" t="s">
        <v>561</v>
      </c>
      <c r="O57" s="5" t="s">
        <v>43</v>
      </c>
      <c r="P57" s="5" t="s">
        <v>43</v>
      </c>
      <c r="Q57" s="5" t="s">
        <v>562</v>
      </c>
    </row>
    <row r="58" customFormat="false" ht="74.6" hidden="false" customHeight="false" outlineLevel="0" collapsed="false">
      <c r="A58" s="5" t="n">
        <v>57</v>
      </c>
      <c r="B58" s="5" t="s">
        <v>18</v>
      </c>
      <c r="C58" s="5" t="s">
        <v>563</v>
      </c>
      <c r="D58" s="5" t="s">
        <v>557</v>
      </c>
      <c r="E58" s="5" t="s">
        <v>564</v>
      </c>
      <c r="F58" s="5" t="s">
        <v>226</v>
      </c>
      <c r="G58" s="5" t="s">
        <v>227</v>
      </c>
      <c r="H58" s="5" t="s">
        <v>565</v>
      </c>
      <c r="I58" s="5" t="s">
        <v>566</v>
      </c>
      <c r="J58" s="5" t="s">
        <v>9</v>
      </c>
      <c r="K58" s="15" t="s">
        <v>9</v>
      </c>
      <c r="L58" s="5" t="s">
        <v>240</v>
      </c>
      <c r="M58" s="5" t="s">
        <v>241</v>
      </c>
      <c r="N58" s="5" t="s">
        <v>567</v>
      </c>
      <c r="O58" s="5" t="s">
        <v>568</v>
      </c>
      <c r="P58" s="5" t="s">
        <v>43</v>
      </c>
      <c r="Q58" s="5" t="s">
        <v>569</v>
      </c>
    </row>
    <row r="59" customFormat="false" ht="74.6" hidden="false" customHeight="false" outlineLevel="0" collapsed="false">
      <c r="A59" s="5" t="n">
        <v>58</v>
      </c>
      <c r="B59" s="5" t="s">
        <v>18</v>
      </c>
      <c r="C59" s="5" t="s">
        <v>570</v>
      </c>
      <c r="D59" s="5" t="s">
        <v>557</v>
      </c>
      <c r="E59" s="5" t="s">
        <v>571</v>
      </c>
      <c r="F59" s="5" t="s">
        <v>226</v>
      </c>
      <c r="G59" s="5" t="s">
        <v>227</v>
      </c>
      <c r="H59" s="5" t="s">
        <v>572</v>
      </c>
      <c r="I59" s="5" t="s">
        <v>573</v>
      </c>
      <c r="J59" s="5" t="s">
        <v>9</v>
      </c>
      <c r="K59" s="15" t="s">
        <v>9</v>
      </c>
      <c r="L59" s="5" t="s">
        <v>240</v>
      </c>
      <c r="M59" s="5" t="s">
        <v>241</v>
      </c>
      <c r="N59" s="5" t="s">
        <v>574</v>
      </c>
      <c r="O59" s="5" t="s">
        <v>575</v>
      </c>
      <c r="P59" s="5" t="s">
        <v>43</v>
      </c>
      <c r="Q59" s="5" t="s">
        <v>576</v>
      </c>
    </row>
    <row r="60" customFormat="false" ht="15" hidden="false" customHeight="false" outlineLevel="0" collapsed="false">
      <c r="A60" s="5" t="n">
        <v>59</v>
      </c>
      <c r="B60" s="5" t="s">
        <v>18</v>
      </c>
      <c r="C60" s="5" t="s">
        <v>577</v>
      </c>
      <c r="D60" s="5" t="s">
        <v>578</v>
      </c>
      <c r="E60" s="5" t="s">
        <v>579</v>
      </c>
      <c r="F60" s="5" t="s">
        <v>246</v>
      </c>
      <c r="G60" s="5" t="s">
        <v>227</v>
      </c>
      <c r="H60" s="5" t="s">
        <v>580</v>
      </c>
      <c r="I60" s="5" t="s">
        <v>581</v>
      </c>
      <c r="J60" s="5" t="s">
        <v>9</v>
      </c>
      <c r="K60" s="15" t="s">
        <v>9</v>
      </c>
      <c r="L60" s="5" t="s">
        <v>240</v>
      </c>
      <c r="M60" s="5" t="s">
        <v>241</v>
      </c>
      <c r="N60" s="5" t="s">
        <v>582</v>
      </c>
      <c r="O60" s="5" t="s">
        <v>43</v>
      </c>
      <c r="P60" s="5" t="s">
        <v>43</v>
      </c>
      <c r="Q60" s="5" t="s">
        <v>583</v>
      </c>
    </row>
    <row r="61" customFormat="false" ht="15" hidden="false" customHeight="false" outlineLevel="0" collapsed="false">
      <c r="A61" s="5" t="n">
        <v>60</v>
      </c>
      <c r="B61" s="5" t="s">
        <v>18</v>
      </c>
      <c r="C61" s="5" t="s">
        <v>584</v>
      </c>
      <c r="D61" s="5" t="s">
        <v>578</v>
      </c>
      <c r="E61" s="5" t="s">
        <v>585</v>
      </c>
      <c r="F61" s="5" t="s">
        <v>246</v>
      </c>
      <c r="G61" s="5" t="s">
        <v>227</v>
      </c>
      <c r="H61" s="5" t="s">
        <v>586</v>
      </c>
      <c r="I61" s="5" t="s">
        <v>587</v>
      </c>
      <c r="J61" s="5" t="s">
        <v>9</v>
      </c>
      <c r="K61" s="15" t="s">
        <v>9</v>
      </c>
      <c r="L61" s="5" t="s">
        <v>240</v>
      </c>
      <c r="M61" s="5" t="s">
        <v>241</v>
      </c>
      <c r="N61" s="5" t="s">
        <v>588</v>
      </c>
      <c r="O61" s="5" t="s">
        <v>43</v>
      </c>
      <c r="P61" s="5" t="s">
        <v>43</v>
      </c>
      <c r="Q61" s="5" t="s">
        <v>583</v>
      </c>
    </row>
    <row r="62" customFormat="false" ht="22.35" hidden="false" customHeight="false" outlineLevel="0" collapsed="false">
      <c r="A62" s="5" t="n">
        <v>61</v>
      </c>
      <c r="B62" s="5" t="s">
        <v>18</v>
      </c>
      <c r="C62" s="5" t="s">
        <v>589</v>
      </c>
      <c r="D62" s="5" t="s">
        <v>590</v>
      </c>
      <c r="E62" s="5" t="s">
        <v>591</v>
      </c>
      <c r="F62" s="5" t="s">
        <v>226</v>
      </c>
      <c r="G62" s="5" t="s">
        <v>227</v>
      </c>
      <c r="H62" s="5" t="s">
        <v>592</v>
      </c>
      <c r="I62" s="5" t="s">
        <v>593</v>
      </c>
      <c r="J62" s="5" t="s">
        <v>9</v>
      </c>
      <c r="K62" s="15" t="s">
        <v>9</v>
      </c>
      <c r="L62" s="5" t="s">
        <v>240</v>
      </c>
      <c r="M62" s="5" t="s">
        <v>241</v>
      </c>
      <c r="N62" s="5" t="s">
        <v>594</v>
      </c>
      <c r="O62" s="5" t="s">
        <v>43</v>
      </c>
      <c r="P62" s="5" t="s">
        <v>43</v>
      </c>
      <c r="Q62" s="5" t="s">
        <v>595</v>
      </c>
    </row>
    <row r="63" customFormat="false" ht="22.35" hidden="false" customHeight="false" outlineLevel="0" collapsed="false">
      <c r="A63" s="5" t="n">
        <v>62</v>
      </c>
      <c r="B63" s="5" t="s">
        <v>18</v>
      </c>
      <c r="C63" s="5" t="s">
        <v>596</v>
      </c>
      <c r="D63" s="5" t="s">
        <v>590</v>
      </c>
      <c r="E63" s="5" t="s">
        <v>597</v>
      </c>
      <c r="F63" s="5" t="s">
        <v>226</v>
      </c>
      <c r="G63" s="5" t="s">
        <v>227</v>
      </c>
      <c r="H63" s="5" t="s">
        <v>598</v>
      </c>
      <c r="I63" s="5" t="s">
        <v>599</v>
      </c>
      <c r="J63" s="5" t="s">
        <v>9</v>
      </c>
      <c r="K63" s="15" t="s">
        <v>9</v>
      </c>
      <c r="L63" s="5" t="s">
        <v>240</v>
      </c>
      <c r="M63" s="5" t="s">
        <v>241</v>
      </c>
      <c r="N63" s="5" t="s">
        <v>600</v>
      </c>
      <c r="O63" s="5" t="s">
        <v>43</v>
      </c>
      <c r="P63" s="5" t="s">
        <v>43</v>
      </c>
      <c r="Q63" s="5" t="s">
        <v>601</v>
      </c>
    </row>
    <row r="64" customFormat="false" ht="74.6" hidden="false" customHeight="false" outlineLevel="0" collapsed="false">
      <c r="A64" s="5" t="n">
        <v>63</v>
      </c>
      <c r="B64" s="5" t="s">
        <v>18</v>
      </c>
      <c r="C64" s="5" t="s">
        <v>602</v>
      </c>
      <c r="D64" s="5" t="s">
        <v>590</v>
      </c>
      <c r="E64" s="5" t="s">
        <v>603</v>
      </c>
      <c r="F64" s="5" t="s">
        <v>226</v>
      </c>
      <c r="G64" s="5" t="s">
        <v>227</v>
      </c>
      <c r="H64" s="5" t="s">
        <v>604</v>
      </c>
      <c r="I64" s="5" t="s">
        <v>605</v>
      </c>
      <c r="J64" s="5" t="s">
        <v>9</v>
      </c>
      <c r="K64" s="15" t="s">
        <v>9</v>
      </c>
      <c r="L64" s="5" t="s">
        <v>240</v>
      </c>
      <c r="M64" s="5" t="s">
        <v>241</v>
      </c>
      <c r="N64" s="5" t="s">
        <v>606</v>
      </c>
      <c r="O64" s="5" t="s">
        <v>43</v>
      </c>
      <c r="P64" s="5" t="s">
        <v>43</v>
      </c>
      <c r="Q64" s="5" t="s">
        <v>607</v>
      </c>
    </row>
    <row r="65" customFormat="false" ht="22.35" hidden="false" customHeight="false" outlineLevel="0" collapsed="false">
      <c r="A65" s="5" t="n">
        <v>64</v>
      </c>
      <c r="B65" s="5" t="s">
        <v>18</v>
      </c>
      <c r="C65" s="5" t="s">
        <v>608</v>
      </c>
      <c r="D65" s="5" t="s">
        <v>590</v>
      </c>
      <c r="E65" s="5" t="s">
        <v>609</v>
      </c>
      <c r="F65" s="5" t="s">
        <v>226</v>
      </c>
      <c r="G65" s="5" t="s">
        <v>227</v>
      </c>
      <c r="H65" s="5" t="s">
        <v>610</v>
      </c>
      <c r="I65" s="5" t="s">
        <v>611</v>
      </c>
      <c r="J65" s="5" t="s">
        <v>9</v>
      </c>
      <c r="K65" s="15" t="s">
        <v>9</v>
      </c>
      <c r="L65" s="5" t="s">
        <v>240</v>
      </c>
      <c r="M65" s="5" t="s">
        <v>241</v>
      </c>
      <c r="N65" s="5" t="s">
        <v>612</v>
      </c>
      <c r="O65" s="5" t="s">
        <v>613</v>
      </c>
      <c r="P65" s="5" t="s">
        <v>43</v>
      </c>
      <c r="Q65" s="5" t="s">
        <v>614</v>
      </c>
    </row>
    <row r="66" customFormat="false" ht="32.8" hidden="false" customHeight="false" outlineLevel="0" collapsed="false">
      <c r="A66" s="5" t="n">
        <v>65</v>
      </c>
      <c r="B66" s="5" t="s">
        <v>18</v>
      </c>
      <c r="C66" s="5" t="s">
        <v>615</v>
      </c>
      <c r="D66" s="5" t="s">
        <v>616</v>
      </c>
      <c r="E66" s="5" t="s">
        <v>617</v>
      </c>
      <c r="F66" s="5" t="s">
        <v>226</v>
      </c>
      <c r="G66" s="5" t="s">
        <v>227</v>
      </c>
      <c r="H66" s="5" t="s">
        <v>618</v>
      </c>
      <c r="I66" s="5" t="s">
        <v>619</v>
      </c>
      <c r="J66" s="5" t="s">
        <v>9</v>
      </c>
      <c r="K66" s="15" t="s">
        <v>9</v>
      </c>
      <c r="L66" s="5" t="s">
        <v>240</v>
      </c>
      <c r="M66" s="5" t="s">
        <v>241</v>
      </c>
      <c r="N66" s="5" t="s">
        <v>620</v>
      </c>
      <c r="O66" s="5" t="s">
        <v>43</v>
      </c>
      <c r="P66" s="5" t="s">
        <v>43</v>
      </c>
      <c r="Q66" s="5" t="s">
        <v>621</v>
      </c>
    </row>
    <row r="67" customFormat="false" ht="64.15" hidden="false" customHeight="false" outlineLevel="0" collapsed="false">
      <c r="A67" s="5" t="n">
        <v>66</v>
      </c>
      <c r="B67" s="5" t="s">
        <v>18</v>
      </c>
      <c r="C67" s="5" t="s">
        <v>622</v>
      </c>
      <c r="D67" s="5" t="s">
        <v>616</v>
      </c>
      <c r="E67" s="5" t="s">
        <v>623</v>
      </c>
      <c r="F67" s="5" t="s">
        <v>226</v>
      </c>
      <c r="G67" s="5" t="s">
        <v>227</v>
      </c>
      <c r="H67" s="5" t="s">
        <v>624</v>
      </c>
      <c r="I67" s="5" t="s">
        <v>625</v>
      </c>
      <c r="J67" s="5" t="s">
        <v>9</v>
      </c>
      <c r="K67" s="15" t="s">
        <v>9</v>
      </c>
      <c r="L67" s="5" t="s">
        <v>240</v>
      </c>
      <c r="M67" s="5" t="s">
        <v>241</v>
      </c>
      <c r="N67" s="5" t="s">
        <v>626</v>
      </c>
      <c r="O67" s="5" t="s">
        <v>43</v>
      </c>
      <c r="P67" s="5" t="s">
        <v>43</v>
      </c>
      <c r="Q67" s="5" t="s">
        <v>627</v>
      </c>
    </row>
    <row r="68" customFormat="false" ht="22.35" hidden="false" customHeight="false" outlineLevel="0" collapsed="false">
      <c r="A68" s="5" t="n">
        <v>67</v>
      </c>
      <c r="B68" s="5" t="s">
        <v>18</v>
      </c>
      <c r="C68" s="5" t="s">
        <v>628</v>
      </c>
      <c r="D68" s="5" t="s">
        <v>616</v>
      </c>
      <c r="E68" s="5" t="s">
        <v>629</v>
      </c>
      <c r="F68" s="5" t="s">
        <v>226</v>
      </c>
      <c r="G68" s="5" t="s">
        <v>227</v>
      </c>
      <c r="H68" s="5" t="s">
        <v>630</v>
      </c>
      <c r="I68" s="5" t="s">
        <v>631</v>
      </c>
      <c r="J68" s="5" t="s">
        <v>9</v>
      </c>
      <c r="K68" s="15" t="s">
        <v>9</v>
      </c>
      <c r="L68" s="5" t="s">
        <v>240</v>
      </c>
      <c r="M68" s="5" t="s">
        <v>241</v>
      </c>
      <c r="N68" s="5" t="s">
        <v>632</v>
      </c>
      <c r="O68" s="5" t="s">
        <v>633</v>
      </c>
      <c r="P68" s="5" t="s">
        <v>43</v>
      </c>
      <c r="Q68" s="5" t="s">
        <v>634</v>
      </c>
    </row>
    <row r="69" customFormat="false" ht="22.35" hidden="false" customHeight="false" outlineLevel="0" collapsed="false">
      <c r="A69" s="5" t="n">
        <v>68</v>
      </c>
      <c r="B69" s="5" t="s">
        <v>18</v>
      </c>
      <c r="C69" s="5" t="s">
        <v>635</v>
      </c>
      <c r="D69" s="5" t="s">
        <v>616</v>
      </c>
      <c r="E69" s="5" t="s">
        <v>636</v>
      </c>
      <c r="F69" s="5" t="s">
        <v>246</v>
      </c>
      <c r="G69" s="5" t="s">
        <v>247</v>
      </c>
      <c r="H69" s="5" t="s">
        <v>637</v>
      </c>
      <c r="I69" s="5" t="s">
        <v>638</v>
      </c>
      <c r="J69" s="5" t="s">
        <v>9</v>
      </c>
      <c r="K69" s="15" t="s">
        <v>9</v>
      </c>
      <c r="L69" s="5" t="s">
        <v>240</v>
      </c>
      <c r="M69" s="5" t="s">
        <v>241</v>
      </c>
      <c r="N69" s="5" t="s">
        <v>639</v>
      </c>
      <c r="O69" s="5" t="s">
        <v>43</v>
      </c>
      <c r="P69" s="5" t="s">
        <v>43</v>
      </c>
      <c r="Q69" s="5" t="s">
        <v>640</v>
      </c>
    </row>
    <row r="70" customFormat="false" ht="32.8" hidden="false" customHeight="false" outlineLevel="0" collapsed="false">
      <c r="A70" s="5" t="n">
        <v>69</v>
      </c>
      <c r="B70" s="5" t="s">
        <v>18</v>
      </c>
      <c r="C70" s="5" t="s">
        <v>204</v>
      </c>
      <c r="D70" s="5" t="s">
        <v>203</v>
      </c>
      <c r="E70" s="5" t="s">
        <v>641</v>
      </c>
      <c r="F70" s="5" t="s">
        <v>226</v>
      </c>
      <c r="G70" s="5" t="s">
        <v>227</v>
      </c>
      <c r="H70" s="5" t="s">
        <v>642</v>
      </c>
      <c r="I70" s="5" t="s">
        <v>643</v>
      </c>
      <c r="J70" s="5" t="s">
        <v>9</v>
      </c>
      <c r="K70" s="15" t="s">
        <v>9</v>
      </c>
      <c r="L70" s="5" t="s">
        <v>240</v>
      </c>
      <c r="M70" s="5" t="s">
        <v>241</v>
      </c>
      <c r="N70" s="5" t="s">
        <v>644</v>
      </c>
      <c r="O70" s="5" t="s">
        <v>43</v>
      </c>
      <c r="P70" s="5" t="s">
        <v>43</v>
      </c>
      <c r="Q70" s="5" t="s">
        <v>645</v>
      </c>
    </row>
    <row r="71" customFormat="false" ht="22.35" hidden="false" customHeight="false" outlineLevel="0" collapsed="false">
      <c r="A71" s="5" t="n">
        <v>70</v>
      </c>
      <c r="B71" s="5" t="s">
        <v>18</v>
      </c>
      <c r="C71" s="5" t="s">
        <v>198</v>
      </c>
      <c r="D71" s="5" t="s">
        <v>646</v>
      </c>
      <c r="E71" s="5" t="s">
        <v>647</v>
      </c>
      <c r="F71" s="5" t="s">
        <v>226</v>
      </c>
      <c r="G71" s="5" t="s">
        <v>227</v>
      </c>
      <c r="H71" s="5" t="s">
        <v>648</v>
      </c>
      <c r="I71" s="5" t="s">
        <v>649</v>
      </c>
      <c r="J71" s="5" t="s">
        <v>9</v>
      </c>
      <c r="K71" s="15" t="s">
        <v>9</v>
      </c>
      <c r="L71" s="5" t="s">
        <v>240</v>
      </c>
      <c r="M71" s="5" t="s">
        <v>241</v>
      </c>
      <c r="N71" s="5" t="s">
        <v>650</v>
      </c>
      <c r="O71" s="5" t="s">
        <v>43</v>
      </c>
      <c r="P71" s="5" t="s">
        <v>43</v>
      </c>
      <c r="Q71" s="5" t="s">
        <v>651</v>
      </c>
    </row>
    <row r="72" customFormat="false" ht="15" hidden="false" customHeight="false" outlineLevel="0" collapsed="false">
      <c r="A72" s="5" t="n">
        <v>71</v>
      </c>
      <c r="B72" s="5" t="s">
        <v>18</v>
      </c>
      <c r="C72" s="5" t="s">
        <v>652</v>
      </c>
      <c r="D72" s="5" t="s">
        <v>646</v>
      </c>
      <c r="E72" s="5" t="s">
        <v>653</v>
      </c>
      <c r="F72" s="5" t="s">
        <v>226</v>
      </c>
      <c r="G72" s="5" t="s">
        <v>227</v>
      </c>
      <c r="H72" s="5" t="s">
        <v>654</v>
      </c>
      <c r="I72" s="5" t="s">
        <v>239</v>
      </c>
      <c r="J72" s="5" t="s">
        <v>9</v>
      </c>
      <c r="K72" s="15" t="s">
        <v>9</v>
      </c>
      <c r="L72" s="5" t="s">
        <v>240</v>
      </c>
      <c r="M72" s="5" t="s">
        <v>241</v>
      </c>
      <c r="N72" s="5" t="s">
        <v>43</v>
      </c>
      <c r="O72" s="5" t="s">
        <v>43</v>
      </c>
      <c r="P72" s="5" t="s">
        <v>43</v>
      </c>
      <c r="Q72" s="5" t="s">
        <v>43</v>
      </c>
    </row>
    <row r="73" customFormat="false" ht="53.7" hidden="false" customHeight="false" outlineLevel="0" collapsed="false">
      <c r="A73" s="5" t="n">
        <v>72</v>
      </c>
      <c r="B73" s="5" t="s">
        <v>18</v>
      </c>
      <c r="C73" s="5" t="s">
        <v>111</v>
      </c>
      <c r="D73" s="5" t="s">
        <v>655</v>
      </c>
      <c r="E73" s="5" t="s">
        <v>656</v>
      </c>
      <c r="F73" s="5" t="s">
        <v>226</v>
      </c>
      <c r="G73" s="5" t="s">
        <v>227</v>
      </c>
      <c r="H73" s="5" t="s">
        <v>657</v>
      </c>
      <c r="I73" s="5" t="s">
        <v>658</v>
      </c>
      <c r="J73" s="5" t="s">
        <v>10</v>
      </c>
      <c r="K73" s="15" t="s">
        <v>9</v>
      </c>
      <c r="L73" s="5" t="s">
        <v>275</v>
      </c>
      <c r="M73" s="5" t="s">
        <v>659</v>
      </c>
      <c r="N73" s="5" t="s">
        <v>660</v>
      </c>
      <c r="O73" s="5" t="s">
        <v>661</v>
      </c>
      <c r="P73" s="5" t="s">
        <v>43</v>
      </c>
      <c r="Q73" s="5" t="s">
        <v>662</v>
      </c>
    </row>
    <row r="74" customFormat="false" ht="22.35" hidden="false" customHeight="false" outlineLevel="0" collapsed="false">
      <c r="A74" s="5" t="n">
        <v>73</v>
      </c>
      <c r="B74" s="5" t="s">
        <v>18</v>
      </c>
      <c r="C74" s="5" t="s">
        <v>663</v>
      </c>
      <c r="D74" s="5" t="s">
        <v>655</v>
      </c>
      <c r="E74" s="5" t="s">
        <v>664</v>
      </c>
      <c r="F74" s="5" t="s">
        <v>226</v>
      </c>
      <c r="G74" s="5" t="s">
        <v>227</v>
      </c>
      <c r="H74" s="5" t="s">
        <v>665</v>
      </c>
      <c r="I74" s="5" t="s">
        <v>666</v>
      </c>
      <c r="J74" s="5" t="s">
        <v>10</v>
      </c>
      <c r="K74" s="16" t="s">
        <v>11</v>
      </c>
      <c r="L74" s="5" t="s">
        <v>230</v>
      </c>
      <c r="M74" s="5" t="s">
        <v>241</v>
      </c>
      <c r="N74" s="5" t="s">
        <v>667</v>
      </c>
      <c r="O74" s="5" t="s">
        <v>668</v>
      </c>
      <c r="P74" s="5" t="s">
        <v>669</v>
      </c>
      <c r="Q74" s="5" t="s">
        <v>670</v>
      </c>
    </row>
    <row r="75" customFormat="false" ht="22.35" hidden="false" customHeight="false" outlineLevel="0" collapsed="false">
      <c r="A75" s="5" t="n">
        <v>74</v>
      </c>
      <c r="B75" s="5" t="s">
        <v>18</v>
      </c>
      <c r="C75" s="5" t="s">
        <v>671</v>
      </c>
      <c r="D75" s="5" t="s">
        <v>655</v>
      </c>
      <c r="E75" s="5" t="s">
        <v>672</v>
      </c>
      <c r="F75" s="5" t="s">
        <v>246</v>
      </c>
      <c r="G75" s="5" t="s">
        <v>227</v>
      </c>
      <c r="H75" s="5" t="s">
        <v>673</v>
      </c>
      <c r="I75" s="5" t="s">
        <v>658</v>
      </c>
      <c r="J75" s="5" t="s">
        <v>10</v>
      </c>
      <c r="K75" s="16" t="s">
        <v>11</v>
      </c>
      <c r="L75" s="5" t="s">
        <v>230</v>
      </c>
      <c r="M75" s="5" t="s">
        <v>674</v>
      </c>
      <c r="N75" s="5" t="s">
        <v>675</v>
      </c>
      <c r="O75" s="5" t="s">
        <v>676</v>
      </c>
      <c r="P75" s="5" t="s">
        <v>677</v>
      </c>
      <c r="Q75" s="5" t="s">
        <v>678</v>
      </c>
    </row>
    <row r="76" customFormat="false" ht="43.25" hidden="false" customHeight="false" outlineLevel="0" collapsed="false">
      <c r="A76" s="5" t="n">
        <v>75</v>
      </c>
      <c r="B76" s="5" t="s">
        <v>19</v>
      </c>
      <c r="C76" s="5" t="s">
        <v>679</v>
      </c>
      <c r="D76" s="5" t="s">
        <v>39</v>
      </c>
      <c r="E76" s="5" t="s">
        <v>680</v>
      </c>
      <c r="F76" s="5" t="s">
        <v>681</v>
      </c>
      <c r="G76" s="5" t="s">
        <v>681</v>
      </c>
      <c r="H76" s="5" t="s">
        <v>682</v>
      </c>
      <c r="I76" s="5" t="s">
        <v>683</v>
      </c>
      <c r="J76" s="5" t="s">
        <v>10</v>
      </c>
      <c r="K76" s="16" t="s">
        <v>11</v>
      </c>
      <c r="L76" s="5" t="s">
        <v>230</v>
      </c>
      <c r="M76" s="5" t="s">
        <v>241</v>
      </c>
      <c r="N76" s="5" t="s">
        <v>684</v>
      </c>
      <c r="O76" s="5" t="s">
        <v>685</v>
      </c>
      <c r="P76" s="5" t="s">
        <v>669</v>
      </c>
      <c r="Q76" s="5" t="s">
        <v>686</v>
      </c>
    </row>
    <row r="77" customFormat="false" ht="32.8" hidden="false" customHeight="false" outlineLevel="0" collapsed="false">
      <c r="A77" s="5" t="n">
        <v>76</v>
      </c>
      <c r="B77" s="5" t="s">
        <v>19</v>
      </c>
      <c r="C77" s="5" t="s">
        <v>687</v>
      </c>
      <c r="D77" s="5" t="s">
        <v>688</v>
      </c>
      <c r="E77" s="5" t="s">
        <v>689</v>
      </c>
      <c r="F77" s="5" t="s">
        <v>681</v>
      </c>
      <c r="G77" s="5" t="s">
        <v>681</v>
      </c>
      <c r="H77" s="5" t="s">
        <v>690</v>
      </c>
      <c r="I77" s="5" t="s">
        <v>691</v>
      </c>
      <c r="J77" s="5" t="s">
        <v>9</v>
      </c>
      <c r="K77" s="15" t="s">
        <v>9</v>
      </c>
      <c r="L77" s="5" t="s">
        <v>240</v>
      </c>
      <c r="M77" s="5" t="s">
        <v>241</v>
      </c>
      <c r="N77" s="5" t="s">
        <v>692</v>
      </c>
      <c r="O77" s="5" t="s">
        <v>43</v>
      </c>
      <c r="P77" s="5" t="s">
        <v>43</v>
      </c>
      <c r="Q77" s="5" t="s">
        <v>451</v>
      </c>
    </row>
    <row r="78" customFormat="false" ht="32.8" hidden="false" customHeight="false" outlineLevel="0" collapsed="false">
      <c r="A78" s="5" t="n">
        <v>77</v>
      </c>
      <c r="B78" s="5" t="s">
        <v>19</v>
      </c>
      <c r="C78" s="5" t="s">
        <v>693</v>
      </c>
      <c r="D78" s="5" t="s">
        <v>694</v>
      </c>
      <c r="E78" s="5" t="s">
        <v>87</v>
      </c>
      <c r="F78" s="5" t="s">
        <v>681</v>
      </c>
      <c r="G78" s="5" t="s">
        <v>681</v>
      </c>
      <c r="H78" s="5" t="s">
        <v>695</v>
      </c>
      <c r="I78" s="5" t="s">
        <v>696</v>
      </c>
      <c r="J78" s="5" t="s">
        <v>9</v>
      </c>
      <c r="K78" s="15" t="s">
        <v>9</v>
      </c>
      <c r="L78" s="5" t="s">
        <v>240</v>
      </c>
      <c r="M78" s="5" t="s">
        <v>241</v>
      </c>
      <c r="N78" s="5" t="s">
        <v>697</v>
      </c>
      <c r="O78" s="5" t="s">
        <v>698</v>
      </c>
      <c r="P78" s="5" t="s">
        <v>43</v>
      </c>
      <c r="Q78" s="5" t="s">
        <v>478</v>
      </c>
    </row>
    <row r="79" customFormat="false" ht="32.8" hidden="false" customHeight="false" outlineLevel="0" collapsed="false">
      <c r="A79" s="5" t="n">
        <v>78</v>
      </c>
      <c r="B79" s="5" t="s">
        <v>19</v>
      </c>
      <c r="C79" s="5" t="s">
        <v>699</v>
      </c>
      <c r="D79" s="5" t="s">
        <v>700</v>
      </c>
      <c r="E79" s="5" t="s">
        <v>701</v>
      </c>
      <c r="F79" s="5" t="s">
        <v>681</v>
      </c>
      <c r="G79" s="5" t="s">
        <v>681</v>
      </c>
      <c r="H79" s="5" t="s">
        <v>702</v>
      </c>
      <c r="I79" s="5" t="s">
        <v>703</v>
      </c>
      <c r="J79" s="5" t="s">
        <v>9</v>
      </c>
      <c r="K79" s="15" t="s">
        <v>9</v>
      </c>
      <c r="L79" s="5" t="s">
        <v>240</v>
      </c>
      <c r="M79" s="5" t="s">
        <v>241</v>
      </c>
      <c r="N79" s="5" t="s">
        <v>704</v>
      </c>
      <c r="O79" s="5" t="s">
        <v>43</v>
      </c>
      <c r="P79" s="5" t="s">
        <v>43</v>
      </c>
      <c r="Q79" s="5" t="s">
        <v>705</v>
      </c>
    </row>
    <row r="80" customFormat="false" ht="32.8" hidden="false" customHeight="false" outlineLevel="0" collapsed="false">
      <c r="A80" s="5" t="n">
        <v>79</v>
      </c>
      <c r="B80" s="5" t="s">
        <v>19</v>
      </c>
      <c r="C80" s="5" t="s">
        <v>706</v>
      </c>
      <c r="D80" s="5" t="s">
        <v>707</v>
      </c>
      <c r="E80" s="5" t="s">
        <v>453</v>
      </c>
      <c r="F80" s="5" t="s">
        <v>681</v>
      </c>
      <c r="G80" s="5" t="s">
        <v>681</v>
      </c>
      <c r="H80" s="5" t="s">
        <v>708</v>
      </c>
      <c r="I80" s="5" t="s">
        <v>709</v>
      </c>
      <c r="J80" s="5" t="s">
        <v>9</v>
      </c>
      <c r="K80" s="15" t="s">
        <v>9</v>
      </c>
      <c r="L80" s="5" t="s">
        <v>240</v>
      </c>
      <c r="M80" s="5" t="s">
        <v>241</v>
      </c>
      <c r="N80" s="5" t="s">
        <v>710</v>
      </c>
      <c r="O80" s="5" t="s">
        <v>711</v>
      </c>
      <c r="P80" s="5" t="s">
        <v>43</v>
      </c>
      <c r="Q80" s="5" t="s">
        <v>712</v>
      </c>
    </row>
    <row r="81" customFormat="false" ht="32.8" hidden="false" customHeight="false" outlineLevel="0" collapsed="false">
      <c r="A81" s="5" t="n">
        <v>80</v>
      </c>
      <c r="B81" s="5" t="s">
        <v>19</v>
      </c>
      <c r="C81" s="5" t="s">
        <v>158</v>
      </c>
      <c r="D81" s="5" t="s">
        <v>713</v>
      </c>
      <c r="E81" s="5" t="s">
        <v>512</v>
      </c>
      <c r="F81" s="5" t="s">
        <v>681</v>
      </c>
      <c r="G81" s="5" t="s">
        <v>681</v>
      </c>
      <c r="H81" s="5" t="s">
        <v>714</v>
      </c>
      <c r="I81" s="5" t="s">
        <v>715</v>
      </c>
      <c r="J81" s="5" t="s">
        <v>9</v>
      </c>
      <c r="K81" s="15" t="s">
        <v>9</v>
      </c>
      <c r="L81" s="5" t="s">
        <v>240</v>
      </c>
      <c r="M81" s="5" t="s">
        <v>241</v>
      </c>
      <c r="N81" s="5" t="s">
        <v>716</v>
      </c>
      <c r="O81" s="5" t="s">
        <v>43</v>
      </c>
      <c r="P81" s="5" t="s">
        <v>43</v>
      </c>
      <c r="Q81" s="5" t="s">
        <v>521</v>
      </c>
    </row>
    <row r="82" customFormat="false" ht="32.8" hidden="false" customHeight="false" outlineLevel="0" collapsed="false">
      <c r="A82" s="5" t="n">
        <v>81</v>
      </c>
      <c r="B82" s="5" t="s">
        <v>19</v>
      </c>
      <c r="C82" s="5" t="s">
        <v>717</v>
      </c>
      <c r="D82" s="5" t="s">
        <v>718</v>
      </c>
      <c r="E82" s="5" t="s">
        <v>719</v>
      </c>
      <c r="F82" s="5" t="s">
        <v>681</v>
      </c>
      <c r="G82" s="5" t="s">
        <v>681</v>
      </c>
      <c r="H82" s="5" t="s">
        <v>720</v>
      </c>
      <c r="I82" s="5" t="s">
        <v>721</v>
      </c>
      <c r="J82" s="5" t="s">
        <v>9</v>
      </c>
      <c r="K82" s="15" t="s">
        <v>9</v>
      </c>
      <c r="L82" s="5" t="s">
        <v>240</v>
      </c>
      <c r="M82" s="5" t="s">
        <v>241</v>
      </c>
      <c r="N82" s="5" t="s">
        <v>722</v>
      </c>
      <c r="O82" s="5" t="s">
        <v>723</v>
      </c>
      <c r="P82" s="5" t="s">
        <v>43</v>
      </c>
      <c r="Q82" s="5" t="s">
        <v>724</v>
      </c>
    </row>
    <row r="83" customFormat="false" ht="43.25" hidden="false" customHeight="false" outlineLevel="0" collapsed="false">
      <c r="A83" s="5" t="n">
        <v>82</v>
      </c>
      <c r="B83" s="5" t="s">
        <v>19</v>
      </c>
      <c r="C83" s="5" t="s">
        <v>725</v>
      </c>
      <c r="D83" s="5" t="s">
        <v>726</v>
      </c>
      <c r="E83" s="5" t="s">
        <v>727</v>
      </c>
      <c r="F83" s="5" t="s">
        <v>681</v>
      </c>
      <c r="G83" s="5" t="s">
        <v>681</v>
      </c>
      <c r="H83" s="5" t="s">
        <v>728</v>
      </c>
      <c r="I83" s="5" t="s">
        <v>729</v>
      </c>
      <c r="J83" s="5" t="s">
        <v>10</v>
      </c>
      <c r="K83" s="15" t="s">
        <v>9</v>
      </c>
      <c r="L83" s="5" t="s">
        <v>275</v>
      </c>
      <c r="M83" s="5" t="s">
        <v>241</v>
      </c>
      <c r="N83" s="5" t="s">
        <v>730</v>
      </c>
      <c r="O83" s="5" t="s">
        <v>731</v>
      </c>
      <c r="P83" s="5" t="s">
        <v>43</v>
      </c>
      <c r="Q83" s="5" t="s">
        <v>732</v>
      </c>
    </row>
    <row r="84" customFormat="false" ht="32.8" hidden="false" customHeight="false" outlineLevel="0" collapsed="false">
      <c r="A84" s="5" t="n">
        <v>83</v>
      </c>
      <c r="B84" s="5" t="s">
        <v>19</v>
      </c>
      <c r="C84" s="5" t="s">
        <v>733</v>
      </c>
      <c r="D84" s="5" t="s">
        <v>688</v>
      </c>
      <c r="E84" s="5" t="s">
        <v>734</v>
      </c>
      <c r="F84" s="5" t="s">
        <v>681</v>
      </c>
      <c r="G84" s="5" t="s">
        <v>681</v>
      </c>
      <c r="H84" s="5" t="s">
        <v>735</v>
      </c>
      <c r="I84" s="5" t="s">
        <v>736</v>
      </c>
      <c r="J84" s="5" t="s">
        <v>9</v>
      </c>
      <c r="K84" s="15" t="s">
        <v>9</v>
      </c>
      <c r="L84" s="5" t="s">
        <v>240</v>
      </c>
      <c r="M84" s="5" t="s">
        <v>241</v>
      </c>
      <c r="N84" s="5" t="s">
        <v>737</v>
      </c>
      <c r="O84" s="5" t="s">
        <v>43</v>
      </c>
      <c r="P84" s="5" t="s">
        <v>43</v>
      </c>
      <c r="Q84" s="5" t="s">
        <v>738</v>
      </c>
    </row>
    <row r="85" customFormat="false" ht="32.8" hidden="false" customHeight="false" outlineLevel="0" collapsed="false">
      <c r="A85" s="5" t="n">
        <v>84</v>
      </c>
      <c r="B85" s="5" t="s">
        <v>19</v>
      </c>
      <c r="C85" s="5" t="s">
        <v>739</v>
      </c>
      <c r="D85" s="5" t="s">
        <v>740</v>
      </c>
      <c r="E85" s="5" t="s">
        <v>741</v>
      </c>
      <c r="F85" s="5" t="s">
        <v>681</v>
      </c>
      <c r="G85" s="5" t="s">
        <v>681</v>
      </c>
      <c r="H85" s="5" t="s">
        <v>742</v>
      </c>
      <c r="I85" s="5" t="s">
        <v>743</v>
      </c>
      <c r="J85" s="5" t="s">
        <v>9</v>
      </c>
      <c r="K85" s="15" t="s">
        <v>9</v>
      </c>
      <c r="L85" s="5" t="s">
        <v>240</v>
      </c>
      <c r="M85" s="5" t="s">
        <v>241</v>
      </c>
      <c r="N85" s="5" t="s">
        <v>744</v>
      </c>
      <c r="O85" s="5" t="s">
        <v>43</v>
      </c>
      <c r="P85" s="5" t="s">
        <v>43</v>
      </c>
      <c r="Q85" s="5" t="s">
        <v>745</v>
      </c>
    </row>
    <row r="86" customFormat="false" ht="22.35" hidden="false" customHeight="false" outlineLevel="0" collapsed="false">
      <c r="A86" s="5" t="n">
        <v>85</v>
      </c>
      <c r="B86" s="5" t="s">
        <v>20</v>
      </c>
      <c r="C86" s="5" t="s">
        <v>746</v>
      </c>
      <c r="D86" s="5" t="s">
        <v>646</v>
      </c>
      <c r="E86" s="5" t="s">
        <v>747</v>
      </c>
      <c r="F86" s="5" t="s">
        <v>681</v>
      </c>
      <c r="G86" s="5" t="s">
        <v>681</v>
      </c>
      <c r="H86" s="5" t="s">
        <v>748</v>
      </c>
      <c r="I86" s="5" t="s">
        <v>43</v>
      </c>
      <c r="J86" s="5" t="s">
        <v>9</v>
      </c>
      <c r="K86" s="15" t="s">
        <v>9</v>
      </c>
      <c r="L86" s="5" t="s">
        <v>240</v>
      </c>
      <c r="M86" s="5" t="s">
        <v>241</v>
      </c>
      <c r="N86" s="5" t="s">
        <v>43</v>
      </c>
      <c r="O86" s="5" t="s">
        <v>43</v>
      </c>
      <c r="P86" s="5" t="s">
        <v>43</v>
      </c>
      <c r="Q86" s="5" t="s">
        <v>43</v>
      </c>
    </row>
    <row r="87" customFormat="false" ht="22.35" hidden="false" customHeight="false" outlineLevel="0" collapsed="false">
      <c r="A87" s="5" t="n">
        <v>86</v>
      </c>
      <c r="B87" s="5" t="s">
        <v>20</v>
      </c>
      <c r="C87" s="5" t="s">
        <v>749</v>
      </c>
      <c r="D87" s="5" t="s">
        <v>646</v>
      </c>
      <c r="E87" s="5" t="s">
        <v>750</v>
      </c>
      <c r="F87" s="5" t="s">
        <v>681</v>
      </c>
      <c r="G87" s="5" t="s">
        <v>681</v>
      </c>
      <c r="H87" s="5" t="s">
        <v>751</v>
      </c>
      <c r="I87" s="5" t="s">
        <v>43</v>
      </c>
      <c r="J87" s="5" t="s">
        <v>9</v>
      </c>
      <c r="K87" s="15" t="s">
        <v>9</v>
      </c>
      <c r="L87" s="5" t="s">
        <v>240</v>
      </c>
      <c r="M87" s="5" t="s">
        <v>241</v>
      </c>
      <c r="N87" s="5" t="s">
        <v>752</v>
      </c>
      <c r="O87" s="5" t="s">
        <v>43</v>
      </c>
      <c r="P87" s="5" t="s">
        <v>43</v>
      </c>
      <c r="Q87" s="5" t="s">
        <v>753</v>
      </c>
    </row>
    <row r="88" customFormat="false" ht="22.35" hidden="false" customHeight="false" outlineLevel="0" collapsed="false">
      <c r="A88" s="5" t="n">
        <v>87</v>
      </c>
      <c r="B88" s="5" t="s">
        <v>20</v>
      </c>
      <c r="C88" s="5" t="s">
        <v>754</v>
      </c>
      <c r="D88" s="5" t="s">
        <v>646</v>
      </c>
      <c r="E88" s="5" t="s">
        <v>755</v>
      </c>
      <c r="F88" s="5" t="s">
        <v>681</v>
      </c>
      <c r="G88" s="5" t="s">
        <v>681</v>
      </c>
      <c r="H88" s="5" t="s">
        <v>756</v>
      </c>
      <c r="I88" s="5" t="s">
        <v>43</v>
      </c>
      <c r="J88" s="5" t="s">
        <v>13</v>
      </c>
      <c r="K88" s="16" t="s">
        <v>11</v>
      </c>
      <c r="L88" s="5" t="s">
        <v>757</v>
      </c>
      <c r="M88" s="5" t="s">
        <v>241</v>
      </c>
      <c r="N88" s="5" t="s">
        <v>758</v>
      </c>
      <c r="O88" s="5" t="s">
        <v>759</v>
      </c>
      <c r="P88" s="5" t="s">
        <v>760</v>
      </c>
      <c r="Q88" s="5" t="s">
        <v>761</v>
      </c>
    </row>
    <row r="89" customFormat="false" ht="22.35" hidden="false" customHeight="false" outlineLevel="0" collapsed="false">
      <c r="A89" s="5" t="n">
        <v>88</v>
      </c>
      <c r="B89" s="5" t="s">
        <v>20</v>
      </c>
      <c r="C89" s="5" t="s">
        <v>762</v>
      </c>
      <c r="D89" s="5" t="s">
        <v>646</v>
      </c>
      <c r="E89" s="5" t="s">
        <v>763</v>
      </c>
      <c r="F89" s="5" t="s">
        <v>681</v>
      </c>
      <c r="G89" s="5" t="s">
        <v>681</v>
      </c>
      <c r="H89" s="5" t="s">
        <v>764</v>
      </c>
      <c r="I89" s="5" t="s">
        <v>43</v>
      </c>
      <c r="J89" s="5" t="s">
        <v>9</v>
      </c>
      <c r="K89" s="15" t="s">
        <v>9</v>
      </c>
      <c r="L89" s="5" t="s">
        <v>240</v>
      </c>
      <c r="M89" s="5" t="s">
        <v>241</v>
      </c>
      <c r="N89" s="5" t="s">
        <v>43</v>
      </c>
      <c r="O89" s="5" t="s">
        <v>43</v>
      </c>
      <c r="P89" s="5" t="s">
        <v>43</v>
      </c>
      <c r="Q89" s="5" t="s">
        <v>43</v>
      </c>
    </row>
    <row r="90" customFormat="false" ht="22.35" hidden="false" customHeight="false" outlineLevel="0" collapsed="false">
      <c r="A90" s="5" t="n">
        <v>89</v>
      </c>
      <c r="B90" s="5" t="s">
        <v>20</v>
      </c>
      <c r="C90" s="5" t="s">
        <v>765</v>
      </c>
      <c r="D90" s="5" t="s">
        <v>646</v>
      </c>
      <c r="E90" s="5" t="s">
        <v>766</v>
      </c>
      <c r="F90" s="5" t="s">
        <v>681</v>
      </c>
      <c r="G90" s="5" t="s">
        <v>681</v>
      </c>
      <c r="H90" s="5" t="s">
        <v>764</v>
      </c>
      <c r="I90" s="5" t="s">
        <v>43</v>
      </c>
      <c r="J90" s="5" t="s">
        <v>9</v>
      </c>
      <c r="K90" s="15" t="s">
        <v>9</v>
      </c>
      <c r="L90" s="5" t="s">
        <v>240</v>
      </c>
      <c r="M90" s="5" t="s">
        <v>241</v>
      </c>
      <c r="N90" s="5" t="s">
        <v>43</v>
      </c>
      <c r="O90" s="5" t="s">
        <v>43</v>
      </c>
      <c r="P90" s="5" t="s">
        <v>43</v>
      </c>
      <c r="Q90" s="5" t="s">
        <v>43</v>
      </c>
    </row>
    <row r="91" customFormat="false" ht="22.35" hidden="false" customHeight="false" outlineLevel="0" collapsed="false">
      <c r="A91" s="5" t="n">
        <v>90</v>
      </c>
      <c r="B91" s="5" t="s">
        <v>20</v>
      </c>
      <c r="C91" s="5" t="s">
        <v>767</v>
      </c>
      <c r="D91" s="5" t="s">
        <v>646</v>
      </c>
      <c r="E91" s="5" t="s">
        <v>768</v>
      </c>
      <c r="F91" s="5" t="s">
        <v>681</v>
      </c>
      <c r="G91" s="5" t="s">
        <v>681</v>
      </c>
      <c r="H91" s="5" t="s">
        <v>769</v>
      </c>
      <c r="I91" s="5" t="s">
        <v>43</v>
      </c>
      <c r="J91" s="5" t="s">
        <v>9</v>
      </c>
      <c r="K91" s="15" t="s">
        <v>9</v>
      </c>
      <c r="L91" s="5" t="s">
        <v>240</v>
      </c>
      <c r="M91" s="5" t="s">
        <v>241</v>
      </c>
      <c r="N91" s="5" t="s">
        <v>43</v>
      </c>
      <c r="O91" s="5" t="s">
        <v>43</v>
      </c>
      <c r="P91" s="5" t="s">
        <v>43</v>
      </c>
      <c r="Q91" s="5" t="s">
        <v>43</v>
      </c>
    </row>
    <row r="92" customFormat="false" ht="53.7" hidden="false" customHeight="false" outlineLevel="0" collapsed="false">
      <c r="A92" s="5" t="n">
        <v>91</v>
      </c>
      <c r="B92" s="5" t="s">
        <v>20</v>
      </c>
      <c r="C92" s="5" t="s">
        <v>770</v>
      </c>
      <c r="D92" s="5" t="s">
        <v>646</v>
      </c>
      <c r="E92" s="5" t="s">
        <v>771</v>
      </c>
      <c r="F92" s="5" t="s">
        <v>681</v>
      </c>
      <c r="G92" s="5" t="s">
        <v>681</v>
      </c>
      <c r="H92" s="5" t="s">
        <v>772</v>
      </c>
      <c r="I92" s="5" t="s">
        <v>43</v>
      </c>
      <c r="J92" s="5" t="s">
        <v>9</v>
      </c>
      <c r="K92" s="15" t="s">
        <v>9</v>
      </c>
      <c r="L92" s="5" t="s">
        <v>240</v>
      </c>
      <c r="M92" s="5" t="s">
        <v>241</v>
      </c>
      <c r="N92" s="5" t="s">
        <v>773</v>
      </c>
      <c r="O92" s="5" t="s">
        <v>43</v>
      </c>
      <c r="P92" s="5" t="s">
        <v>43</v>
      </c>
      <c r="Q92" s="5" t="s">
        <v>774</v>
      </c>
    </row>
    <row r="93" customFormat="false" ht="22.35" hidden="false" customHeight="false" outlineLevel="0" collapsed="false">
      <c r="A93" s="5" t="n">
        <v>92</v>
      </c>
      <c r="B93" s="5" t="s">
        <v>20</v>
      </c>
      <c r="C93" s="5" t="s">
        <v>775</v>
      </c>
      <c r="D93" s="5" t="s">
        <v>646</v>
      </c>
      <c r="E93" s="5" t="s">
        <v>776</v>
      </c>
      <c r="F93" s="5" t="s">
        <v>681</v>
      </c>
      <c r="G93" s="5" t="s">
        <v>681</v>
      </c>
      <c r="H93" s="5" t="s">
        <v>777</v>
      </c>
      <c r="I93" s="5" t="s">
        <v>43</v>
      </c>
      <c r="J93" s="5" t="s">
        <v>9</v>
      </c>
      <c r="K93" s="15" t="s">
        <v>9</v>
      </c>
      <c r="L93" s="5" t="s">
        <v>240</v>
      </c>
      <c r="M93" s="5" t="s">
        <v>241</v>
      </c>
      <c r="N93" s="5" t="s">
        <v>43</v>
      </c>
      <c r="O93" s="5" t="s">
        <v>43</v>
      </c>
      <c r="P93" s="5" t="s">
        <v>43</v>
      </c>
      <c r="Q93" s="5" t="s">
        <v>43</v>
      </c>
    </row>
    <row r="94" customFormat="false" ht="22.35" hidden="false" customHeight="false" outlineLevel="0" collapsed="false">
      <c r="A94" s="5" t="n">
        <v>93</v>
      </c>
      <c r="B94" s="5" t="s">
        <v>20</v>
      </c>
      <c r="C94" s="5" t="s">
        <v>778</v>
      </c>
      <c r="D94" s="5" t="s">
        <v>646</v>
      </c>
      <c r="E94" s="5" t="s">
        <v>779</v>
      </c>
      <c r="F94" s="5" t="s">
        <v>681</v>
      </c>
      <c r="G94" s="5" t="s">
        <v>681</v>
      </c>
      <c r="H94" s="5" t="s">
        <v>780</v>
      </c>
      <c r="I94" s="5" t="s">
        <v>43</v>
      </c>
      <c r="J94" s="5" t="s">
        <v>9</v>
      </c>
      <c r="K94" s="15" t="s">
        <v>9</v>
      </c>
      <c r="L94" s="5" t="s">
        <v>240</v>
      </c>
      <c r="M94" s="5" t="s">
        <v>241</v>
      </c>
      <c r="N94" s="5" t="s">
        <v>781</v>
      </c>
      <c r="O94" s="5" t="s">
        <v>43</v>
      </c>
      <c r="P94" s="5" t="s">
        <v>43</v>
      </c>
      <c r="Q94" s="5" t="s">
        <v>761</v>
      </c>
    </row>
    <row r="95" customFormat="false" ht="32.8" hidden="false" customHeight="false" outlineLevel="0" collapsed="false">
      <c r="A95" s="5" t="n">
        <v>94</v>
      </c>
      <c r="B95" s="5" t="s">
        <v>20</v>
      </c>
      <c r="C95" s="5" t="s">
        <v>782</v>
      </c>
      <c r="D95" s="5" t="s">
        <v>646</v>
      </c>
      <c r="E95" s="5" t="s">
        <v>783</v>
      </c>
      <c r="F95" s="5" t="s">
        <v>681</v>
      </c>
      <c r="G95" s="5" t="s">
        <v>681</v>
      </c>
      <c r="H95" s="5" t="s">
        <v>784</v>
      </c>
      <c r="I95" s="5" t="s">
        <v>43</v>
      </c>
      <c r="J95" s="5" t="s">
        <v>9</v>
      </c>
      <c r="K95" s="15" t="s">
        <v>9</v>
      </c>
      <c r="L95" s="5" t="s">
        <v>240</v>
      </c>
      <c r="M95" s="5" t="s">
        <v>241</v>
      </c>
      <c r="N95" s="5" t="s">
        <v>785</v>
      </c>
      <c r="O95" s="5" t="s">
        <v>43</v>
      </c>
      <c r="P95" s="5" t="s">
        <v>43</v>
      </c>
      <c r="Q95" s="5" t="s">
        <v>786</v>
      </c>
    </row>
    <row r="96" customFormat="false" ht="22.35" hidden="false" customHeight="false" outlineLevel="0" collapsed="false">
      <c r="A96" s="5" t="n">
        <v>95</v>
      </c>
      <c r="B96" s="5" t="s">
        <v>20</v>
      </c>
      <c r="C96" s="5" t="s">
        <v>787</v>
      </c>
      <c r="D96" s="5" t="s">
        <v>646</v>
      </c>
      <c r="E96" s="5" t="s">
        <v>788</v>
      </c>
      <c r="F96" s="5" t="s">
        <v>681</v>
      </c>
      <c r="G96" s="5" t="s">
        <v>681</v>
      </c>
      <c r="H96" s="5" t="s">
        <v>789</v>
      </c>
      <c r="I96" s="5" t="s">
        <v>43</v>
      </c>
      <c r="J96" s="5" t="s">
        <v>9</v>
      </c>
      <c r="K96" s="15" t="s">
        <v>9</v>
      </c>
      <c r="L96" s="5" t="s">
        <v>240</v>
      </c>
      <c r="M96" s="5" t="s">
        <v>241</v>
      </c>
      <c r="N96" s="5" t="s">
        <v>790</v>
      </c>
      <c r="O96" s="5" t="s">
        <v>43</v>
      </c>
      <c r="P96" s="5" t="s">
        <v>43</v>
      </c>
      <c r="Q96" s="5" t="s">
        <v>761</v>
      </c>
    </row>
    <row r="97" customFormat="false" ht="32.8" hidden="false" customHeight="false" outlineLevel="0" collapsed="false">
      <c r="A97" s="5" t="n">
        <v>96</v>
      </c>
      <c r="B97" s="5" t="s">
        <v>20</v>
      </c>
      <c r="C97" s="5" t="s">
        <v>791</v>
      </c>
      <c r="D97" s="5" t="s">
        <v>646</v>
      </c>
      <c r="E97" s="5" t="s">
        <v>741</v>
      </c>
      <c r="F97" s="5" t="s">
        <v>681</v>
      </c>
      <c r="G97" s="5" t="s">
        <v>681</v>
      </c>
      <c r="H97" s="5" t="s">
        <v>792</v>
      </c>
      <c r="I97" s="5" t="s">
        <v>43</v>
      </c>
      <c r="J97" s="5" t="s">
        <v>9</v>
      </c>
      <c r="K97" s="15" t="s">
        <v>9</v>
      </c>
      <c r="L97" s="5" t="s">
        <v>240</v>
      </c>
      <c r="M97" s="5" t="s">
        <v>241</v>
      </c>
      <c r="N97" s="5" t="s">
        <v>793</v>
      </c>
      <c r="O97" s="5" t="s">
        <v>43</v>
      </c>
      <c r="P97" s="5" t="s">
        <v>43</v>
      </c>
      <c r="Q97" s="5" t="s">
        <v>761</v>
      </c>
    </row>
    <row r="98" customFormat="false" ht="22.35" hidden="false" customHeight="false" outlineLevel="0" collapsed="false">
      <c r="A98" s="5" t="n">
        <v>97</v>
      </c>
      <c r="B98" s="5" t="s">
        <v>20</v>
      </c>
      <c r="C98" s="5" t="s">
        <v>794</v>
      </c>
      <c r="D98" s="5" t="s">
        <v>646</v>
      </c>
      <c r="E98" s="5" t="s">
        <v>795</v>
      </c>
      <c r="F98" s="5" t="s">
        <v>681</v>
      </c>
      <c r="G98" s="5" t="s">
        <v>681</v>
      </c>
      <c r="H98" s="5" t="s">
        <v>796</v>
      </c>
      <c r="I98" s="5" t="s">
        <v>43</v>
      </c>
      <c r="J98" s="5" t="s">
        <v>9</v>
      </c>
      <c r="K98" s="15" t="s">
        <v>9</v>
      </c>
      <c r="L98" s="5" t="s">
        <v>240</v>
      </c>
      <c r="M98" s="5" t="s">
        <v>241</v>
      </c>
      <c r="N98" s="5" t="s">
        <v>43</v>
      </c>
      <c r="O98" s="5" t="s">
        <v>43</v>
      </c>
      <c r="P98" s="5" t="s">
        <v>43</v>
      </c>
      <c r="Q98" s="5" t="s">
        <v>43</v>
      </c>
    </row>
    <row r="99" customFormat="false" ht="22.35" hidden="false" customHeight="false" outlineLevel="0" collapsed="false">
      <c r="A99" s="5" t="n">
        <v>98</v>
      </c>
      <c r="B99" s="5" t="s">
        <v>20</v>
      </c>
      <c r="C99" s="5" t="s">
        <v>797</v>
      </c>
      <c r="D99" s="5" t="s">
        <v>646</v>
      </c>
      <c r="E99" s="5" t="s">
        <v>798</v>
      </c>
      <c r="F99" s="5" t="s">
        <v>681</v>
      </c>
      <c r="G99" s="5" t="s">
        <v>681</v>
      </c>
      <c r="H99" s="5" t="s">
        <v>796</v>
      </c>
      <c r="I99" s="5" t="s">
        <v>43</v>
      </c>
      <c r="J99" s="5" t="s">
        <v>9</v>
      </c>
      <c r="K99" s="15" t="s">
        <v>9</v>
      </c>
      <c r="L99" s="5" t="s">
        <v>240</v>
      </c>
      <c r="M99" s="5" t="s">
        <v>241</v>
      </c>
      <c r="N99" s="5" t="s">
        <v>799</v>
      </c>
      <c r="O99" s="5" t="s">
        <v>43</v>
      </c>
      <c r="P99" s="5" t="s">
        <v>43</v>
      </c>
      <c r="Q99" s="5" t="s">
        <v>43</v>
      </c>
    </row>
    <row r="100" customFormat="false" ht="22.35" hidden="false" customHeight="false" outlineLevel="0" collapsed="false">
      <c r="A100" s="5" t="n">
        <v>99</v>
      </c>
      <c r="B100" s="5" t="s">
        <v>20</v>
      </c>
      <c r="C100" s="5" t="s">
        <v>800</v>
      </c>
      <c r="D100" s="5" t="s">
        <v>646</v>
      </c>
      <c r="E100" s="5" t="s">
        <v>629</v>
      </c>
      <c r="F100" s="5" t="s">
        <v>681</v>
      </c>
      <c r="G100" s="5" t="s">
        <v>681</v>
      </c>
      <c r="H100" s="5" t="s">
        <v>796</v>
      </c>
      <c r="I100" s="5" t="s">
        <v>43</v>
      </c>
      <c r="J100" s="5" t="s">
        <v>9</v>
      </c>
      <c r="K100" s="15" t="s">
        <v>9</v>
      </c>
      <c r="L100" s="5" t="s">
        <v>240</v>
      </c>
      <c r="M100" s="5" t="s">
        <v>241</v>
      </c>
      <c r="N100" s="5" t="s">
        <v>43</v>
      </c>
      <c r="O100" s="5" t="s">
        <v>43</v>
      </c>
      <c r="P100" s="5" t="s">
        <v>43</v>
      </c>
      <c r="Q100" s="5" t="s">
        <v>43</v>
      </c>
    </row>
    <row r="101" customFormat="false" ht="43.25" hidden="false" customHeight="false" outlineLevel="0" collapsed="false">
      <c r="A101" s="5" t="n">
        <v>100</v>
      </c>
      <c r="B101" s="5" t="s">
        <v>21</v>
      </c>
      <c r="C101" s="5" t="s">
        <v>136</v>
      </c>
      <c r="D101" s="5" t="s">
        <v>801</v>
      </c>
      <c r="E101" s="5" t="s">
        <v>802</v>
      </c>
      <c r="F101" s="5" t="s">
        <v>681</v>
      </c>
      <c r="G101" s="5" t="s">
        <v>681</v>
      </c>
      <c r="H101" s="5" t="s">
        <v>803</v>
      </c>
      <c r="I101" s="5" t="s">
        <v>804</v>
      </c>
      <c r="J101" s="5" t="s">
        <v>9</v>
      </c>
      <c r="K101" s="15" t="s">
        <v>9</v>
      </c>
      <c r="L101" s="5" t="s">
        <v>240</v>
      </c>
      <c r="M101" s="5" t="s">
        <v>241</v>
      </c>
      <c r="N101" s="5" t="s">
        <v>805</v>
      </c>
      <c r="O101" s="5" t="s">
        <v>43</v>
      </c>
      <c r="P101" s="5" t="s">
        <v>43</v>
      </c>
      <c r="Q101" s="5" t="s">
        <v>806</v>
      </c>
    </row>
    <row r="102" customFormat="false" ht="43.25" hidden="false" customHeight="false" outlineLevel="0" collapsed="false">
      <c r="A102" s="5" t="n">
        <v>101</v>
      </c>
      <c r="B102" s="5" t="s">
        <v>21</v>
      </c>
      <c r="C102" s="5" t="s">
        <v>807</v>
      </c>
      <c r="D102" s="5" t="s">
        <v>688</v>
      </c>
      <c r="E102" s="5" t="s">
        <v>808</v>
      </c>
      <c r="F102" s="5" t="s">
        <v>681</v>
      </c>
      <c r="G102" s="5" t="s">
        <v>681</v>
      </c>
      <c r="H102" s="5" t="s">
        <v>809</v>
      </c>
      <c r="I102" s="5" t="s">
        <v>810</v>
      </c>
      <c r="J102" s="5" t="s">
        <v>10</v>
      </c>
      <c r="K102" s="17" t="s">
        <v>10</v>
      </c>
      <c r="L102" s="5" t="s">
        <v>391</v>
      </c>
      <c r="M102" s="5" t="s">
        <v>811</v>
      </c>
      <c r="N102" s="5" t="s">
        <v>812</v>
      </c>
      <c r="O102" s="5" t="s">
        <v>813</v>
      </c>
      <c r="P102" s="5" t="s">
        <v>43</v>
      </c>
      <c r="Q102" s="5" t="s">
        <v>814</v>
      </c>
    </row>
    <row r="103" customFormat="false" ht="64.15" hidden="false" customHeight="false" outlineLevel="0" collapsed="false">
      <c r="A103" s="5" t="n">
        <v>102</v>
      </c>
      <c r="B103" s="5" t="s">
        <v>21</v>
      </c>
      <c r="C103" s="5" t="s">
        <v>815</v>
      </c>
      <c r="D103" s="5" t="s">
        <v>707</v>
      </c>
      <c r="E103" s="5" t="s">
        <v>816</v>
      </c>
      <c r="F103" s="5" t="s">
        <v>681</v>
      </c>
      <c r="G103" s="5" t="s">
        <v>681</v>
      </c>
      <c r="H103" s="5" t="s">
        <v>817</v>
      </c>
      <c r="I103" s="5" t="s">
        <v>818</v>
      </c>
      <c r="J103" s="5" t="s">
        <v>10</v>
      </c>
      <c r="K103" s="15" t="s">
        <v>9</v>
      </c>
      <c r="L103" s="5" t="s">
        <v>275</v>
      </c>
      <c r="M103" s="5" t="s">
        <v>819</v>
      </c>
      <c r="N103" s="5" t="s">
        <v>820</v>
      </c>
      <c r="O103" s="5" t="s">
        <v>821</v>
      </c>
      <c r="P103" s="5" t="s">
        <v>43</v>
      </c>
      <c r="Q103" s="5" t="s">
        <v>822</v>
      </c>
    </row>
    <row r="104" customFormat="false" ht="32.8" hidden="false" customHeight="false" outlineLevel="0" collapsed="false">
      <c r="A104" s="5" t="n">
        <v>103</v>
      </c>
      <c r="B104" s="5" t="s">
        <v>21</v>
      </c>
      <c r="C104" s="5" t="s">
        <v>823</v>
      </c>
      <c r="D104" s="5" t="s">
        <v>512</v>
      </c>
      <c r="E104" s="5" t="s">
        <v>824</v>
      </c>
      <c r="F104" s="5" t="s">
        <v>681</v>
      </c>
      <c r="G104" s="5" t="s">
        <v>681</v>
      </c>
      <c r="H104" s="5" t="s">
        <v>825</v>
      </c>
      <c r="I104" s="5" t="s">
        <v>826</v>
      </c>
      <c r="J104" s="5" t="s">
        <v>10</v>
      </c>
      <c r="K104" s="17" t="s">
        <v>10</v>
      </c>
      <c r="L104" s="5" t="s">
        <v>391</v>
      </c>
      <c r="M104" s="5" t="s">
        <v>811</v>
      </c>
      <c r="N104" s="5" t="s">
        <v>827</v>
      </c>
      <c r="O104" s="5" t="s">
        <v>828</v>
      </c>
      <c r="P104" s="5" t="s">
        <v>43</v>
      </c>
      <c r="Q104" s="5" t="s">
        <v>829</v>
      </c>
    </row>
    <row r="105" customFormat="false" ht="32.8" hidden="false" customHeight="false" outlineLevel="0" collapsed="false">
      <c r="A105" s="5" t="n">
        <v>104</v>
      </c>
      <c r="B105" s="5" t="s">
        <v>21</v>
      </c>
      <c r="C105" s="5" t="s">
        <v>830</v>
      </c>
      <c r="D105" s="5" t="s">
        <v>54</v>
      </c>
      <c r="E105" s="5" t="s">
        <v>831</v>
      </c>
      <c r="F105" s="5" t="s">
        <v>681</v>
      </c>
      <c r="G105" s="5" t="s">
        <v>681</v>
      </c>
      <c r="H105" s="5" t="s">
        <v>832</v>
      </c>
      <c r="I105" s="5" t="s">
        <v>833</v>
      </c>
      <c r="J105" s="5" t="s">
        <v>10</v>
      </c>
      <c r="K105" s="16" t="s">
        <v>11</v>
      </c>
      <c r="L105" s="5" t="s">
        <v>230</v>
      </c>
      <c r="M105" s="5" t="s">
        <v>241</v>
      </c>
      <c r="N105" s="5" t="s">
        <v>834</v>
      </c>
      <c r="O105" s="5" t="s">
        <v>835</v>
      </c>
      <c r="P105" s="5" t="s">
        <v>836</v>
      </c>
      <c r="Q105" s="5" t="s">
        <v>837</v>
      </c>
    </row>
    <row r="106" customFormat="false" ht="32.8" hidden="false" customHeight="false" outlineLevel="0" collapsed="false">
      <c r="A106" s="5" t="n">
        <v>105</v>
      </c>
      <c r="B106" s="5" t="s">
        <v>21</v>
      </c>
      <c r="C106" s="5" t="s">
        <v>838</v>
      </c>
      <c r="D106" s="5" t="s">
        <v>839</v>
      </c>
      <c r="E106" s="5" t="s">
        <v>840</v>
      </c>
      <c r="F106" s="5" t="s">
        <v>681</v>
      </c>
      <c r="G106" s="5" t="s">
        <v>681</v>
      </c>
      <c r="H106" s="5" t="s">
        <v>841</v>
      </c>
      <c r="I106" s="5" t="s">
        <v>842</v>
      </c>
      <c r="J106" s="5" t="s">
        <v>10</v>
      </c>
      <c r="K106" s="16" t="s">
        <v>11</v>
      </c>
      <c r="L106" s="5" t="s">
        <v>230</v>
      </c>
      <c r="M106" s="5" t="s">
        <v>241</v>
      </c>
      <c r="N106" s="5" t="s">
        <v>843</v>
      </c>
      <c r="O106" s="5" t="s">
        <v>844</v>
      </c>
      <c r="P106" s="5" t="s">
        <v>845</v>
      </c>
      <c r="Q106" s="5" t="s">
        <v>846</v>
      </c>
    </row>
    <row r="107" customFormat="false" ht="32.8" hidden="false" customHeight="false" outlineLevel="0" collapsed="false">
      <c r="A107" s="5" t="n">
        <v>106</v>
      </c>
      <c r="B107" s="5" t="s">
        <v>22</v>
      </c>
      <c r="C107" s="5" t="s">
        <v>847</v>
      </c>
      <c r="D107" s="5" t="s">
        <v>453</v>
      </c>
      <c r="E107" s="5" t="s">
        <v>848</v>
      </c>
      <c r="F107" s="5" t="s">
        <v>226</v>
      </c>
      <c r="G107" s="5" t="s">
        <v>681</v>
      </c>
      <c r="H107" s="5" t="s">
        <v>849</v>
      </c>
      <c r="I107" s="5" t="s">
        <v>43</v>
      </c>
      <c r="J107" s="5" t="s">
        <v>9</v>
      </c>
      <c r="K107" s="15" t="s">
        <v>9</v>
      </c>
      <c r="L107" s="5" t="s">
        <v>240</v>
      </c>
      <c r="M107" s="5" t="s">
        <v>241</v>
      </c>
      <c r="N107" s="5" t="s">
        <v>850</v>
      </c>
      <c r="O107" s="5" t="s">
        <v>43</v>
      </c>
      <c r="P107" s="5" t="s">
        <v>43</v>
      </c>
      <c r="Q107" s="5" t="s">
        <v>851</v>
      </c>
    </row>
    <row r="108" customFormat="false" ht="22.35" hidden="false" customHeight="false" outlineLevel="0" collapsed="false">
      <c r="A108" s="5" t="n">
        <v>107</v>
      </c>
      <c r="B108" s="5" t="s">
        <v>22</v>
      </c>
      <c r="C108" s="5" t="s">
        <v>852</v>
      </c>
      <c r="D108" s="5" t="s">
        <v>453</v>
      </c>
      <c r="E108" s="5" t="s">
        <v>853</v>
      </c>
      <c r="F108" s="5" t="s">
        <v>226</v>
      </c>
      <c r="G108" s="5" t="s">
        <v>681</v>
      </c>
      <c r="H108" s="5" t="s">
        <v>854</v>
      </c>
      <c r="I108" s="5" t="s">
        <v>43</v>
      </c>
      <c r="J108" s="5" t="s">
        <v>9</v>
      </c>
      <c r="K108" s="15" t="s">
        <v>9</v>
      </c>
      <c r="L108" s="5" t="s">
        <v>240</v>
      </c>
      <c r="M108" s="5" t="s">
        <v>241</v>
      </c>
      <c r="N108" s="5" t="s">
        <v>855</v>
      </c>
      <c r="O108" s="5" t="s">
        <v>43</v>
      </c>
      <c r="P108" s="5" t="s">
        <v>43</v>
      </c>
      <c r="Q108" s="5" t="s">
        <v>856</v>
      </c>
    </row>
    <row r="109" customFormat="false" ht="22.35" hidden="false" customHeight="false" outlineLevel="0" collapsed="false">
      <c r="A109" s="5" t="n">
        <v>108</v>
      </c>
      <c r="B109" s="5" t="s">
        <v>22</v>
      </c>
      <c r="C109" s="5" t="s">
        <v>857</v>
      </c>
      <c r="D109" s="5" t="s">
        <v>453</v>
      </c>
      <c r="E109" s="5" t="s">
        <v>858</v>
      </c>
      <c r="F109" s="5" t="s">
        <v>226</v>
      </c>
      <c r="G109" s="5" t="s">
        <v>681</v>
      </c>
      <c r="H109" s="5" t="s">
        <v>859</v>
      </c>
      <c r="I109" s="5" t="s">
        <v>43</v>
      </c>
      <c r="J109" s="5" t="s">
        <v>9</v>
      </c>
      <c r="K109" s="15" t="s">
        <v>9</v>
      </c>
      <c r="L109" s="5" t="s">
        <v>240</v>
      </c>
      <c r="M109" s="5" t="s">
        <v>241</v>
      </c>
      <c r="N109" s="5" t="s">
        <v>43</v>
      </c>
      <c r="O109" s="5" t="s">
        <v>43</v>
      </c>
      <c r="P109" s="5" t="s">
        <v>43</v>
      </c>
      <c r="Q109" s="5" t="s">
        <v>43</v>
      </c>
    </row>
    <row r="110" customFormat="false" ht="22.35" hidden="false" customHeight="false" outlineLevel="0" collapsed="false">
      <c r="A110" s="5" t="n">
        <v>109</v>
      </c>
      <c r="B110" s="5" t="s">
        <v>22</v>
      </c>
      <c r="C110" s="5" t="s">
        <v>860</v>
      </c>
      <c r="D110" s="5" t="s">
        <v>453</v>
      </c>
      <c r="E110" s="5" t="s">
        <v>861</v>
      </c>
      <c r="F110" s="5" t="s">
        <v>226</v>
      </c>
      <c r="G110" s="5" t="s">
        <v>681</v>
      </c>
      <c r="H110" s="5" t="s">
        <v>862</v>
      </c>
      <c r="I110" s="5" t="s">
        <v>43</v>
      </c>
      <c r="J110" s="5" t="s">
        <v>9</v>
      </c>
      <c r="K110" s="15" t="s">
        <v>9</v>
      </c>
      <c r="L110" s="5" t="s">
        <v>240</v>
      </c>
      <c r="M110" s="5" t="s">
        <v>241</v>
      </c>
      <c r="N110" s="5" t="s">
        <v>43</v>
      </c>
      <c r="O110" s="5" t="s">
        <v>43</v>
      </c>
      <c r="P110" s="5" t="s">
        <v>43</v>
      </c>
      <c r="Q110" s="5" t="s">
        <v>43</v>
      </c>
    </row>
    <row r="111" customFormat="false" ht="53.7" hidden="false" customHeight="false" outlineLevel="0" collapsed="false">
      <c r="A111" s="5" t="n">
        <v>110</v>
      </c>
      <c r="B111" s="5" t="s">
        <v>22</v>
      </c>
      <c r="C111" s="5" t="s">
        <v>863</v>
      </c>
      <c r="D111" s="5" t="s">
        <v>453</v>
      </c>
      <c r="E111" s="5" t="s">
        <v>864</v>
      </c>
      <c r="F111" s="5" t="s">
        <v>226</v>
      </c>
      <c r="G111" s="5" t="s">
        <v>681</v>
      </c>
      <c r="H111" s="5" t="s">
        <v>865</v>
      </c>
      <c r="I111" s="5" t="s">
        <v>43</v>
      </c>
      <c r="J111" s="5" t="s">
        <v>10</v>
      </c>
      <c r="K111" s="17" t="s">
        <v>10</v>
      </c>
      <c r="L111" s="5" t="s">
        <v>391</v>
      </c>
      <c r="M111" s="5" t="s">
        <v>866</v>
      </c>
      <c r="N111" s="5" t="s">
        <v>867</v>
      </c>
      <c r="O111" s="5" t="s">
        <v>868</v>
      </c>
      <c r="P111" s="5" t="s">
        <v>43</v>
      </c>
      <c r="Q111" s="5" t="s">
        <v>869</v>
      </c>
    </row>
    <row r="112" customFormat="false" ht="22.35" hidden="false" customHeight="false" outlineLevel="0" collapsed="false">
      <c r="A112" s="5" t="n">
        <v>111</v>
      </c>
      <c r="B112" s="5" t="s">
        <v>22</v>
      </c>
      <c r="C112" s="5" t="s">
        <v>85</v>
      </c>
      <c r="D112" s="5" t="s">
        <v>453</v>
      </c>
      <c r="E112" s="5" t="s">
        <v>870</v>
      </c>
      <c r="F112" s="5" t="s">
        <v>226</v>
      </c>
      <c r="G112" s="5" t="s">
        <v>681</v>
      </c>
      <c r="H112" s="5" t="s">
        <v>871</v>
      </c>
      <c r="I112" s="5" t="s">
        <v>43</v>
      </c>
      <c r="J112" s="5" t="s">
        <v>9</v>
      </c>
      <c r="K112" s="15" t="s">
        <v>9</v>
      </c>
      <c r="L112" s="5" t="s">
        <v>240</v>
      </c>
      <c r="M112" s="5" t="s">
        <v>241</v>
      </c>
      <c r="N112" s="5" t="s">
        <v>872</v>
      </c>
      <c r="O112" s="5" t="s">
        <v>43</v>
      </c>
      <c r="P112" s="5" t="s">
        <v>43</v>
      </c>
      <c r="Q112" s="5" t="s">
        <v>478</v>
      </c>
    </row>
    <row r="113" customFormat="false" ht="22.35" hidden="false" customHeight="false" outlineLevel="0" collapsed="false">
      <c r="A113" s="5" t="n">
        <v>112</v>
      </c>
      <c r="B113" s="5" t="s">
        <v>22</v>
      </c>
      <c r="C113" s="5" t="s">
        <v>873</v>
      </c>
      <c r="D113" s="5" t="s">
        <v>453</v>
      </c>
      <c r="E113" s="5" t="s">
        <v>874</v>
      </c>
      <c r="F113" s="5" t="s">
        <v>246</v>
      </c>
      <c r="G113" s="5" t="s">
        <v>681</v>
      </c>
      <c r="H113" s="5" t="s">
        <v>875</v>
      </c>
      <c r="I113" s="5" t="s">
        <v>43</v>
      </c>
      <c r="J113" s="5" t="s">
        <v>9</v>
      </c>
      <c r="K113" s="15" t="s">
        <v>9</v>
      </c>
      <c r="L113" s="5" t="s">
        <v>240</v>
      </c>
      <c r="M113" s="5" t="s">
        <v>241</v>
      </c>
      <c r="N113" s="5" t="s">
        <v>876</v>
      </c>
      <c r="O113" s="5" t="s">
        <v>43</v>
      </c>
      <c r="P113" s="5" t="s">
        <v>43</v>
      </c>
      <c r="Q113" s="5" t="s">
        <v>877</v>
      </c>
    </row>
    <row r="114" customFormat="false" ht="22.35" hidden="false" customHeight="false" outlineLevel="0" collapsed="false">
      <c r="A114" s="5" t="n">
        <v>113</v>
      </c>
      <c r="B114" s="5" t="s">
        <v>22</v>
      </c>
      <c r="C114" s="5" t="s">
        <v>878</v>
      </c>
      <c r="D114" s="5" t="s">
        <v>453</v>
      </c>
      <c r="E114" s="5" t="s">
        <v>879</v>
      </c>
      <c r="F114" s="5" t="s">
        <v>246</v>
      </c>
      <c r="G114" s="5" t="s">
        <v>681</v>
      </c>
      <c r="H114" s="5" t="s">
        <v>880</v>
      </c>
      <c r="I114" s="5" t="s">
        <v>43</v>
      </c>
      <c r="J114" s="5" t="s">
        <v>9</v>
      </c>
      <c r="K114" s="15" t="s">
        <v>9</v>
      </c>
      <c r="L114" s="5" t="s">
        <v>240</v>
      </c>
      <c r="M114" s="5" t="s">
        <v>241</v>
      </c>
      <c r="N114" s="5" t="s">
        <v>881</v>
      </c>
      <c r="O114" s="5" t="s">
        <v>43</v>
      </c>
      <c r="P114" s="5" t="s">
        <v>43</v>
      </c>
      <c r="Q114" s="5" t="s">
        <v>882</v>
      </c>
    </row>
    <row r="115" customFormat="false" ht="32.8" hidden="false" customHeight="false" outlineLevel="0" collapsed="false">
      <c r="A115" s="5" t="n">
        <v>114</v>
      </c>
      <c r="B115" s="5" t="s">
        <v>22</v>
      </c>
      <c r="C115" s="5" t="s">
        <v>883</v>
      </c>
      <c r="D115" s="5" t="s">
        <v>453</v>
      </c>
      <c r="E115" s="5" t="s">
        <v>884</v>
      </c>
      <c r="F115" s="5" t="s">
        <v>226</v>
      </c>
      <c r="G115" s="5" t="s">
        <v>681</v>
      </c>
      <c r="H115" s="5" t="s">
        <v>885</v>
      </c>
      <c r="I115" s="5" t="s">
        <v>43</v>
      </c>
      <c r="J115" s="5" t="s">
        <v>9</v>
      </c>
      <c r="K115" s="15" t="s">
        <v>9</v>
      </c>
      <c r="L115" s="5" t="s">
        <v>240</v>
      </c>
      <c r="M115" s="5" t="s">
        <v>241</v>
      </c>
      <c r="N115" s="5" t="s">
        <v>886</v>
      </c>
      <c r="O115" s="5" t="s">
        <v>887</v>
      </c>
      <c r="P115" s="5" t="s">
        <v>43</v>
      </c>
      <c r="Q115" s="5" t="s">
        <v>888</v>
      </c>
    </row>
    <row r="116" customFormat="false" ht="53.7" hidden="false" customHeight="false" outlineLevel="0" collapsed="false">
      <c r="A116" s="5" t="n">
        <v>115</v>
      </c>
      <c r="B116" s="5" t="s">
        <v>23</v>
      </c>
      <c r="C116" s="5" t="s">
        <v>889</v>
      </c>
      <c r="D116" s="5" t="s">
        <v>39</v>
      </c>
      <c r="E116" s="5" t="s">
        <v>890</v>
      </c>
      <c r="F116" s="5" t="s">
        <v>681</v>
      </c>
      <c r="G116" s="5" t="s">
        <v>681</v>
      </c>
      <c r="H116" s="5" t="s">
        <v>891</v>
      </c>
      <c r="I116" s="5" t="s">
        <v>43</v>
      </c>
      <c r="J116" s="5" t="s">
        <v>10</v>
      </c>
      <c r="K116" s="15" t="s">
        <v>9</v>
      </c>
      <c r="L116" s="5" t="s">
        <v>275</v>
      </c>
      <c r="M116" s="5" t="s">
        <v>892</v>
      </c>
      <c r="N116" s="5" t="s">
        <v>893</v>
      </c>
      <c r="O116" s="5" t="s">
        <v>894</v>
      </c>
      <c r="P116" s="5" t="s">
        <v>43</v>
      </c>
      <c r="Q116" s="5" t="s">
        <v>895</v>
      </c>
    </row>
    <row r="117" customFormat="false" ht="53.7" hidden="false" customHeight="false" outlineLevel="0" collapsed="false">
      <c r="A117" s="5" t="n">
        <v>116</v>
      </c>
      <c r="B117" s="5" t="s">
        <v>23</v>
      </c>
      <c r="C117" s="5" t="s">
        <v>896</v>
      </c>
      <c r="D117" s="5" t="s">
        <v>39</v>
      </c>
      <c r="E117" s="5" t="s">
        <v>897</v>
      </c>
      <c r="F117" s="5" t="s">
        <v>681</v>
      </c>
      <c r="G117" s="5" t="s">
        <v>681</v>
      </c>
      <c r="H117" s="5" t="s">
        <v>898</v>
      </c>
      <c r="I117" s="5" t="s">
        <v>43</v>
      </c>
      <c r="J117" s="5" t="s">
        <v>10</v>
      </c>
      <c r="K117" s="15" t="s">
        <v>9</v>
      </c>
      <c r="L117" s="5" t="s">
        <v>275</v>
      </c>
      <c r="M117" s="5" t="s">
        <v>899</v>
      </c>
      <c r="N117" s="5" t="s">
        <v>900</v>
      </c>
      <c r="O117" s="5" t="s">
        <v>43</v>
      </c>
      <c r="P117" s="5" t="s">
        <v>43</v>
      </c>
      <c r="Q117" s="5" t="s">
        <v>901</v>
      </c>
    </row>
    <row r="118" customFormat="false" ht="53.7" hidden="false" customHeight="false" outlineLevel="0" collapsed="false">
      <c r="A118" s="5" t="n">
        <v>117</v>
      </c>
      <c r="B118" s="5" t="s">
        <v>23</v>
      </c>
      <c r="C118" s="5" t="s">
        <v>902</v>
      </c>
      <c r="D118" s="5" t="s">
        <v>39</v>
      </c>
      <c r="E118" s="5" t="s">
        <v>903</v>
      </c>
      <c r="F118" s="5" t="s">
        <v>681</v>
      </c>
      <c r="G118" s="5" t="s">
        <v>681</v>
      </c>
      <c r="H118" s="5" t="s">
        <v>904</v>
      </c>
      <c r="I118" s="5" t="s">
        <v>43</v>
      </c>
      <c r="J118" s="5" t="s">
        <v>10</v>
      </c>
      <c r="K118" s="16" t="s">
        <v>11</v>
      </c>
      <c r="L118" s="5" t="s">
        <v>230</v>
      </c>
      <c r="M118" s="5" t="s">
        <v>905</v>
      </c>
      <c r="N118" s="5" t="s">
        <v>906</v>
      </c>
      <c r="O118" s="5" t="s">
        <v>907</v>
      </c>
      <c r="P118" s="5" t="s">
        <v>669</v>
      </c>
      <c r="Q118" s="5" t="s">
        <v>908</v>
      </c>
    </row>
    <row r="119" customFormat="false" ht="22.35" hidden="false" customHeight="false" outlineLevel="0" collapsed="false">
      <c r="A119" s="5" t="n">
        <v>118</v>
      </c>
      <c r="B119" s="5" t="s">
        <v>23</v>
      </c>
      <c r="C119" s="5" t="s">
        <v>909</v>
      </c>
      <c r="D119" s="5" t="s">
        <v>39</v>
      </c>
      <c r="E119" s="5" t="s">
        <v>910</v>
      </c>
      <c r="F119" s="5" t="s">
        <v>681</v>
      </c>
      <c r="G119" s="5" t="s">
        <v>681</v>
      </c>
      <c r="H119" s="5" t="s">
        <v>911</v>
      </c>
      <c r="I119" s="5" t="s">
        <v>43</v>
      </c>
      <c r="J119" s="5" t="s">
        <v>9</v>
      </c>
      <c r="K119" s="15" t="s">
        <v>9</v>
      </c>
      <c r="L119" s="5" t="s">
        <v>240</v>
      </c>
      <c r="M119" s="5" t="s">
        <v>241</v>
      </c>
      <c r="N119" s="5" t="s">
        <v>912</v>
      </c>
      <c r="O119" s="5" t="s">
        <v>43</v>
      </c>
      <c r="P119" s="5" t="s">
        <v>43</v>
      </c>
      <c r="Q119" s="5" t="s">
        <v>913</v>
      </c>
    </row>
    <row r="120" customFormat="false" ht="22.35" hidden="false" customHeight="false" outlineLevel="0" collapsed="false">
      <c r="A120" s="5" t="n">
        <v>119</v>
      </c>
      <c r="B120" s="5" t="s">
        <v>23</v>
      </c>
      <c r="C120" s="5" t="s">
        <v>914</v>
      </c>
      <c r="D120" s="5" t="s">
        <v>39</v>
      </c>
      <c r="E120" s="5" t="s">
        <v>915</v>
      </c>
      <c r="F120" s="5" t="s">
        <v>681</v>
      </c>
      <c r="G120" s="5" t="s">
        <v>681</v>
      </c>
      <c r="H120" s="5" t="s">
        <v>916</v>
      </c>
      <c r="I120" s="5" t="s">
        <v>43</v>
      </c>
      <c r="J120" s="5" t="s">
        <v>9</v>
      </c>
      <c r="K120" s="15" t="s">
        <v>9</v>
      </c>
      <c r="L120" s="5" t="s">
        <v>240</v>
      </c>
      <c r="M120" s="5" t="s">
        <v>241</v>
      </c>
      <c r="N120" s="5" t="s">
        <v>43</v>
      </c>
      <c r="O120" s="5" t="s">
        <v>43</v>
      </c>
      <c r="P120" s="5" t="s">
        <v>43</v>
      </c>
      <c r="Q120" s="5" t="s">
        <v>43</v>
      </c>
    </row>
    <row r="121" customFormat="false" ht="32.8" hidden="false" customHeight="false" outlineLevel="0" collapsed="false">
      <c r="A121" s="5" t="n">
        <v>120</v>
      </c>
      <c r="B121" s="5" t="s">
        <v>23</v>
      </c>
      <c r="C121" s="5" t="s">
        <v>917</v>
      </c>
      <c r="D121" s="5" t="s">
        <v>688</v>
      </c>
      <c r="E121" s="5" t="s">
        <v>918</v>
      </c>
      <c r="F121" s="5" t="s">
        <v>681</v>
      </c>
      <c r="G121" s="5" t="s">
        <v>681</v>
      </c>
      <c r="H121" s="5" t="s">
        <v>919</v>
      </c>
      <c r="I121" s="5" t="s">
        <v>43</v>
      </c>
      <c r="J121" s="5" t="s">
        <v>9</v>
      </c>
      <c r="K121" s="15" t="s">
        <v>9</v>
      </c>
      <c r="L121" s="5" t="s">
        <v>240</v>
      </c>
      <c r="M121" s="5" t="s">
        <v>241</v>
      </c>
      <c r="N121" s="5" t="s">
        <v>920</v>
      </c>
      <c r="O121" s="5" t="s">
        <v>43</v>
      </c>
      <c r="P121" s="5" t="s">
        <v>43</v>
      </c>
      <c r="Q121" s="5" t="s">
        <v>921</v>
      </c>
    </row>
    <row r="122" customFormat="false" ht="22.35" hidden="false" customHeight="false" outlineLevel="0" collapsed="false">
      <c r="A122" s="5" t="n">
        <v>121</v>
      </c>
      <c r="B122" s="5" t="s">
        <v>23</v>
      </c>
      <c r="C122" s="5" t="s">
        <v>922</v>
      </c>
      <c r="D122" s="5" t="s">
        <v>688</v>
      </c>
      <c r="E122" s="5" t="s">
        <v>923</v>
      </c>
      <c r="F122" s="5" t="s">
        <v>681</v>
      </c>
      <c r="G122" s="5" t="s">
        <v>681</v>
      </c>
      <c r="H122" s="5" t="s">
        <v>924</v>
      </c>
      <c r="I122" s="5" t="s">
        <v>43</v>
      </c>
      <c r="J122" s="5" t="s">
        <v>9</v>
      </c>
      <c r="K122" s="15" t="s">
        <v>9</v>
      </c>
      <c r="L122" s="5" t="s">
        <v>240</v>
      </c>
      <c r="M122" s="5" t="s">
        <v>241</v>
      </c>
      <c r="N122" s="5" t="s">
        <v>43</v>
      </c>
      <c r="O122" s="5" t="s">
        <v>43</v>
      </c>
      <c r="P122" s="5" t="s">
        <v>43</v>
      </c>
      <c r="Q122" s="5" t="s">
        <v>43</v>
      </c>
    </row>
    <row r="123" customFormat="false" ht="22.35" hidden="false" customHeight="false" outlineLevel="0" collapsed="false">
      <c r="A123" s="5" t="n">
        <v>122</v>
      </c>
      <c r="B123" s="5" t="s">
        <v>23</v>
      </c>
      <c r="C123" s="5" t="s">
        <v>925</v>
      </c>
      <c r="D123" s="5" t="s">
        <v>688</v>
      </c>
      <c r="E123" s="5" t="s">
        <v>926</v>
      </c>
      <c r="F123" s="5" t="s">
        <v>681</v>
      </c>
      <c r="G123" s="5" t="s">
        <v>681</v>
      </c>
      <c r="H123" s="5" t="s">
        <v>927</v>
      </c>
      <c r="I123" s="5" t="s">
        <v>43</v>
      </c>
      <c r="J123" s="5" t="s">
        <v>9</v>
      </c>
      <c r="K123" s="15" t="s">
        <v>9</v>
      </c>
      <c r="L123" s="5" t="s">
        <v>240</v>
      </c>
      <c r="M123" s="5" t="s">
        <v>241</v>
      </c>
      <c r="N123" s="5" t="s">
        <v>43</v>
      </c>
      <c r="O123" s="5" t="s">
        <v>43</v>
      </c>
      <c r="P123" s="5" t="s">
        <v>43</v>
      </c>
      <c r="Q123" s="5" t="s">
        <v>43</v>
      </c>
    </row>
    <row r="124" customFormat="false" ht="22.35" hidden="false" customHeight="false" outlineLevel="0" collapsed="false">
      <c r="A124" s="5" t="n">
        <v>123</v>
      </c>
      <c r="B124" s="5" t="s">
        <v>23</v>
      </c>
      <c r="C124" s="5" t="s">
        <v>928</v>
      </c>
      <c r="D124" s="5" t="s">
        <v>688</v>
      </c>
      <c r="E124" s="5" t="s">
        <v>929</v>
      </c>
      <c r="F124" s="5" t="s">
        <v>681</v>
      </c>
      <c r="G124" s="5" t="s">
        <v>681</v>
      </c>
      <c r="H124" s="5" t="s">
        <v>930</v>
      </c>
      <c r="I124" s="5" t="s">
        <v>43</v>
      </c>
      <c r="J124" s="5" t="s">
        <v>9</v>
      </c>
      <c r="K124" s="15" t="s">
        <v>9</v>
      </c>
      <c r="L124" s="5" t="s">
        <v>240</v>
      </c>
      <c r="M124" s="5" t="s">
        <v>241</v>
      </c>
      <c r="N124" s="5" t="s">
        <v>931</v>
      </c>
      <c r="O124" s="5" t="s">
        <v>43</v>
      </c>
      <c r="P124" s="5" t="s">
        <v>43</v>
      </c>
      <c r="Q124" s="5" t="s">
        <v>932</v>
      </c>
    </row>
    <row r="125" customFormat="false" ht="15" hidden="false" customHeight="false" outlineLevel="0" collapsed="false">
      <c r="A125" s="5" t="n">
        <v>124</v>
      </c>
      <c r="B125" s="5" t="s">
        <v>23</v>
      </c>
      <c r="C125" s="5" t="s">
        <v>933</v>
      </c>
      <c r="D125" s="5" t="s">
        <v>688</v>
      </c>
      <c r="E125" s="5" t="s">
        <v>934</v>
      </c>
      <c r="F125" s="5" t="s">
        <v>681</v>
      </c>
      <c r="G125" s="5" t="s">
        <v>681</v>
      </c>
      <c r="H125" s="5" t="s">
        <v>935</v>
      </c>
      <c r="I125" s="5" t="s">
        <v>43</v>
      </c>
      <c r="J125" s="5" t="s">
        <v>9</v>
      </c>
      <c r="K125" s="15" t="s">
        <v>9</v>
      </c>
      <c r="L125" s="5" t="s">
        <v>240</v>
      </c>
      <c r="M125" s="5" t="s">
        <v>241</v>
      </c>
      <c r="N125" s="5" t="s">
        <v>936</v>
      </c>
      <c r="O125" s="5" t="s">
        <v>937</v>
      </c>
      <c r="P125" s="5" t="s">
        <v>43</v>
      </c>
      <c r="Q125" s="5" t="s">
        <v>938</v>
      </c>
    </row>
    <row r="126" customFormat="false" ht="15" hidden="false" customHeight="false" outlineLevel="0" collapsed="false">
      <c r="A126" s="5" t="n">
        <v>125</v>
      </c>
      <c r="B126" s="5" t="s">
        <v>23</v>
      </c>
      <c r="C126" s="5" t="s">
        <v>104</v>
      </c>
      <c r="D126" s="5" t="s">
        <v>707</v>
      </c>
      <c r="E126" s="5" t="s">
        <v>939</v>
      </c>
      <c r="F126" s="5" t="s">
        <v>681</v>
      </c>
      <c r="G126" s="5" t="s">
        <v>681</v>
      </c>
      <c r="H126" s="5" t="s">
        <v>940</v>
      </c>
      <c r="I126" s="5" t="s">
        <v>43</v>
      </c>
      <c r="J126" s="5" t="s">
        <v>9</v>
      </c>
      <c r="K126" s="15" t="s">
        <v>9</v>
      </c>
      <c r="L126" s="5" t="s">
        <v>240</v>
      </c>
      <c r="M126" s="5" t="s">
        <v>241</v>
      </c>
      <c r="N126" s="5" t="s">
        <v>43</v>
      </c>
      <c r="O126" s="5" t="s">
        <v>43</v>
      </c>
      <c r="P126" s="5" t="s">
        <v>43</v>
      </c>
      <c r="Q126" s="5" t="s">
        <v>43</v>
      </c>
    </row>
    <row r="127" customFormat="false" ht="22.35" hidden="false" customHeight="false" outlineLevel="0" collapsed="false">
      <c r="A127" s="5" t="n">
        <v>126</v>
      </c>
      <c r="B127" s="5" t="s">
        <v>23</v>
      </c>
      <c r="C127" s="5" t="s">
        <v>941</v>
      </c>
      <c r="D127" s="5" t="s">
        <v>707</v>
      </c>
      <c r="E127" s="5" t="s">
        <v>942</v>
      </c>
      <c r="F127" s="5" t="s">
        <v>681</v>
      </c>
      <c r="G127" s="5" t="s">
        <v>681</v>
      </c>
      <c r="H127" s="5" t="s">
        <v>943</v>
      </c>
      <c r="I127" s="5" t="s">
        <v>43</v>
      </c>
      <c r="J127" s="5" t="s">
        <v>9</v>
      </c>
      <c r="K127" s="15" t="s">
        <v>9</v>
      </c>
      <c r="L127" s="5" t="s">
        <v>240</v>
      </c>
      <c r="M127" s="5" t="s">
        <v>241</v>
      </c>
      <c r="N127" s="5" t="s">
        <v>944</v>
      </c>
      <c r="O127" s="5" t="s">
        <v>43</v>
      </c>
      <c r="P127" s="5" t="s">
        <v>43</v>
      </c>
      <c r="Q127" s="5" t="s">
        <v>945</v>
      </c>
    </row>
    <row r="128" customFormat="false" ht="32.8" hidden="false" customHeight="false" outlineLevel="0" collapsed="false">
      <c r="A128" s="5" t="n">
        <v>127</v>
      </c>
      <c r="B128" s="5" t="s">
        <v>23</v>
      </c>
      <c r="C128" s="5" t="s">
        <v>946</v>
      </c>
      <c r="D128" s="5" t="s">
        <v>707</v>
      </c>
      <c r="E128" s="5" t="s">
        <v>947</v>
      </c>
      <c r="F128" s="5" t="s">
        <v>681</v>
      </c>
      <c r="G128" s="5" t="s">
        <v>681</v>
      </c>
      <c r="H128" s="5" t="s">
        <v>948</v>
      </c>
      <c r="I128" s="5" t="s">
        <v>43</v>
      </c>
      <c r="J128" s="5" t="s">
        <v>10</v>
      </c>
      <c r="K128" s="15" t="s">
        <v>9</v>
      </c>
      <c r="L128" s="5" t="s">
        <v>275</v>
      </c>
      <c r="M128" s="5" t="s">
        <v>241</v>
      </c>
      <c r="N128" s="5" t="s">
        <v>949</v>
      </c>
      <c r="O128" s="5" t="s">
        <v>43</v>
      </c>
      <c r="P128" s="5" t="s">
        <v>43</v>
      </c>
      <c r="Q128" s="5" t="s">
        <v>950</v>
      </c>
    </row>
    <row r="129" customFormat="false" ht="22.35" hidden="false" customHeight="false" outlineLevel="0" collapsed="false">
      <c r="A129" s="5" t="n">
        <v>128</v>
      </c>
      <c r="B129" s="5" t="s">
        <v>23</v>
      </c>
      <c r="C129" s="5" t="s">
        <v>951</v>
      </c>
      <c r="D129" s="5" t="s">
        <v>121</v>
      </c>
      <c r="E129" s="5" t="s">
        <v>952</v>
      </c>
      <c r="F129" s="5" t="s">
        <v>681</v>
      </c>
      <c r="G129" s="5" t="s">
        <v>681</v>
      </c>
      <c r="H129" s="5" t="s">
        <v>953</v>
      </c>
      <c r="I129" s="5" t="s">
        <v>43</v>
      </c>
      <c r="J129" s="5" t="s">
        <v>9</v>
      </c>
      <c r="K129" s="15" t="s">
        <v>9</v>
      </c>
      <c r="L129" s="5" t="s">
        <v>240</v>
      </c>
      <c r="M129" s="5" t="s">
        <v>241</v>
      </c>
      <c r="N129" s="5" t="s">
        <v>954</v>
      </c>
      <c r="O129" s="5" t="s">
        <v>43</v>
      </c>
      <c r="P129" s="5" t="s">
        <v>43</v>
      </c>
      <c r="Q129" s="5" t="s">
        <v>955</v>
      </c>
    </row>
    <row r="130" customFormat="false" ht="22.35" hidden="false" customHeight="false" outlineLevel="0" collapsed="false">
      <c r="A130" s="5" t="n">
        <v>129</v>
      </c>
      <c r="B130" s="5" t="s">
        <v>23</v>
      </c>
      <c r="C130" s="5" t="s">
        <v>956</v>
      </c>
      <c r="D130" s="5" t="s">
        <v>957</v>
      </c>
      <c r="E130" s="5" t="s">
        <v>958</v>
      </c>
      <c r="F130" s="5" t="s">
        <v>681</v>
      </c>
      <c r="G130" s="5" t="s">
        <v>681</v>
      </c>
      <c r="H130" s="5" t="s">
        <v>959</v>
      </c>
      <c r="I130" s="5" t="s">
        <v>43</v>
      </c>
      <c r="J130" s="5" t="s">
        <v>9</v>
      </c>
      <c r="K130" s="15" t="s">
        <v>9</v>
      </c>
      <c r="L130" s="5" t="s">
        <v>240</v>
      </c>
      <c r="M130" s="5" t="s">
        <v>241</v>
      </c>
      <c r="N130" s="5" t="s">
        <v>960</v>
      </c>
      <c r="O130" s="5" t="s">
        <v>43</v>
      </c>
      <c r="P130" s="5" t="s">
        <v>43</v>
      </c>
      <c r="Q130" s="5" t="s">
        <v>961</v>
      </c>
    </row>
    <row r="131" customFormat="false" ht="22.35" hidden="false" customHeight="false" outlineLevel="0" collapsed="false">
      <c r="A131" s="5" t="n">
        <v>130</v>
      </c>
      <c r="B131" s="5" t="s">
        <v>23</v>
      </c>
      <c r="C131" s="5" t="s">
        <v>962</v>
      </c>
      <c r="D131" s="5" t="s">
        <v>957</v>
      </c>
      <c r="E131" s="5" t="s">
        <v>963</v>
      </c>
      <c r="F131" s="5" t="s">
        <v>681</v>
      </c>
      <c r="G131" s="5" t="s">
        <v>681</v>
      </c>
      <c r="H131" s="5" t="s">
        <v>964</v>
      </c>
      <c r="I131" s="5" t="s">
        <v>43</v>
      </c>
      <c r="J131" s="5" t="s">
        <v>9</v>
      </c>
      <c r="K131" s="15" t="s">
        <v>9</v>
      </c>
      <c r="L131" s="5" t="s">
        <v>240</v>
      </c>
      <c r="M131" s="5" t="s">
        <v>241</v>
      </c>
      <c r="N131" s="5" t="s">
        <v>965</v>
      </c>
      <c r="O131" s="5" t="s">
        <v>43</v>
      </c>
      <c r="P131" s="5" t="s">
        <v>43</v>
      </c>
      <c r="Q131" s="5" t="s">
        <v>966</v>
      </c>
    </row>
    <row r="132" customFormat="false" ht="22.35" hidden="false" customHeight="false" outlineLevel="0" collapsed="false">
      <c r="A132" s="5" t="n">
        <v>131</v>
      </c>
      <c r="B132" s="5" t="s">
        <v>23</v>
      </c>
      <c r="C132" s="5" t="s">
        <v>967</v>
      </c>
      <c r="D132" s="5" t="s">
        <v>616</v>
      </c>
      <c r="E132" s="5" t="s">
        <v>968</v>
      </c>
      <c r="F132" s="5" t="s">
        <v>681</v>
      </c>
      <c r="G132" s="5" t="s">
        <v>681</v>
      </c>
      <c r="H132" s="5" t="s">
        <v>969</v>
      </c>
      <c r="I132" s="5" t="s">
        <v>43</v>
      </c>
      <c r="J132" s="5" t="s">
        <v>9</v>
      </c>
      <c r="K132" s="15" t="s">
        <v>9</v>
      </c>
      <c r="L132" s="5" t="s">
        <v>240</v>
      </c>
      <c r="M132" s="5" t="s">
        <v>241</v>
      </c>
      <c r="N132" s="5" t="s">
        <v>970</v>
      </c>
      <c r="O132" s="5" t="s">
        <v>43</v>
      </c>
      <c r="P132" s="5" t="s">
        <v>43</v>
      </c>
      <c r="Q132" s="5" t="s">
        <v>971</v>
      </c>
    </row>
    <row r="133" customFormat="false" ht="32.8" hidden="false" customHeight="false" outlineLevel="0" collapsed="false">
      <c r="A133" s="5" t="n">
        <v>132</v>
      </c>
      <c r="B133" s="5" t="s">
        <v>23</v>
      </c>
      <c r="C133" s="5" t="s">
        <v>972</v>
      </c>
      <c r="D133" s="5" t="s">
        <v>616</v>
      </c>
      <c r="E133" s="5" t="s">
        <v>973</v>
      </c>
      <c r="F133" s="5" t="s">
        <v>681</v>
      </c>
      <c r="G133" s="5" t="s">
        <v>681</v>
      </c>
      <c r="H133" s="5" t="s">
        <v>974</v>
      </c>
      <c r="I133" s="5" t="s">
        <v>43</v>
      </c>
      <c r="J133" s="5" t="s">
        <v>9</v>
      </c>
      <c r="K133" s="15" t="s">
        <v>9</v>
      </c>
      <c r="L133" s="5" t="s">
        <v>240</v>
      </c>
      <c r="M133" s="5" t="s">
        <v>241</v>
      </c>
      <c r="N133" s="5" t="s">
        <v>975</v>
      </c>
      <c r="O133" s="5" t="s">
        <v>43</v>
      </c>
      <c r="P133" s="5" t="s">
        <v>43</v>
      </c>
      <c r="Q133" s="5" t="s">
        <v>645</v>
      </c>
    </row>
    <row r="134" customFormat="false" ht="43.25" hidden="false" customHeight="false" outlineLevel="0" collapsed="false">
      <c r="A134" s="5" t="n">
        <v>133</v>
      </c>
      <c r="B134" s="5" t="s">
        <v>23</v>
      </c>
      <c r="C134" s="5" t="s">
        <v>976</v>
      </c>
      <c r="D134" s="5" t="s">
        <v>616</v>
      </c>
      <c r="E134" s="5" t="s">
        <v>977</v>
      </c>
      <c r="F134" s="5" t="s">
        <v>681</v>
      </c>
      <c r="G134" s="5" t="s">
        <v>681</v>
      </c>
      <c r="H134" s="5" t="s">
        <v>978</v>
      </c>
      <c r="I134" s="5" t="s">
        <v>43</v>
      </c>
      <c r="J134" s="5" t="s">
        <v>9</v>
      </c>
      <c r="K134" s="15" t="s">
        <v>9</v>
      </c>
      <c r="L134" s="5" t="s">
        <v>240</v>
      </c>
      <c r="M134" s="5" t="s">
        <v>241</v>
      </c>
      <c r="N134" s="5" t="s">
        <v>979</v>
      </c>
      <c r="O134" s="5" t="s">
        <v>43</v>
      </c>
      <c r="P134" s="5" t="s">
        <v>43</v>
      </c>
      <c r="Q134" s="5" t="s">
        <v>980</v>
      </c>
    </row>
    <row r="135" customFormat="false" ht="32.8" hidden="false" customHeight="false" outlineLevel="0" collapsed="false">
      <c r="A135" s="5" t="n">
        <v>134</v>
      </c>
      <c r="B135" s="5" t="s">
        <v>24</v>
      </c>
      <c r="C135" s="5" t="s">
        <v>981</v>
      </c>
      <c r="D135" s="5" t="s">
        <v>203</v>
      </c>
      <c r="E135" s="5" t="s">
        <v>982</v>
      </c>
      <c r="F135" s="5" t="s">
        <v>681</v>
      </c>
      <c r="G135" s="5" t="s">
        <v>681</v>
      </c>
      <c r="H135" s="5" t="s">
        <v>983</v>
      </c>
      <c r="I135" s="5" t="s">
        <v>984</v>
      </c>
      <c r="J135" s="5" t="s">
        <v>9</v>
      </c>
      <c r="K135" s="15" t="s">
        <v>9</v>
      </c>
      <c r="L135" s="5" t="s">
        <v>240</v>
      </c>
      <c r="M135" s="5" t="s">
        <v>241</v>
      </c>
      <c r="N135" s="5" t="s">
        <v>985</v>
      </c>
      <c r="O135" s="5" t="s">
        <v>43</v>
      </c>
      <c r="P135" s="5" t="s">
        <v>43</v>
      </c>
      <c r="Q135" s="5" t="s">
        <v>645</v>
      </c>
    </row>
    <row r="136" customFormat="false" ht="32.8" hidden="false" customHeight="false" outlineLevel="0" collapsed="false">
      <c r="A136" s="5" t="n">
        <v>135</v>
      </c>
      <c r="B136" s="5" t="s">
        <v>24</v>
      </c>
      <c r="C136" s="5" t="s">
        <v>986</v>
      </c>
      <c r="D136" s="5" t="s">
        <v>203</v>
      </c>
      <c r="E136" s="5" t="s">
        <v>987</v>
      </c>
      <c r="F136" s="5" t="s">
        <v>681</v>
      </c>
      <c r="G136" s="5" t="s">
        <v>681</v>
      </c>
      <c r="H136" s="5" t="s">
        <v>988</v>
      </c>
      <c r="I136" s="5" t="s">
        <v>989</v>
      </c>
      <c r="J136" s="5" t="s">
        <v>9</v>
      </c>
      <c r="K136" s="15" t="s">
        <v>9</v>
      </c>
      <c r="L136" s="5" t="s">
        <v>240</v>
      </c>
      <c r="M136" s="5" t="s">
        <v>241</v>
      </c>
      <c r="N136" s="5" t="s">
        <v>990</v>
      </c>
      <c r="O136" s="5" t="s">
        <v>43</v>
      </c>
      <c r="P136" s="5" t="s">
        <v>43</v>
      </c>
      <c r="Q136" s="5" t="s">
        <v>645</v>
      </c>
    </row>
    <row r="137" customFormat="false" ht="32.8" hidden="false" customHeight="false" outlineLevel="0" collapsed="false">
      <c r="A137" s="5" t="n">
        <v>136</v>
      </c>
      <c r="B137" s="5" t="s">
        <v>24</v>
      </c>
      <c r="C137" s="5" t="s">
        <v>991</v>
      </c>
      <c r="D137" s="5" t="s">
        <v>203</v>
      </c>
      <c r="E137" s="5" t="s">
        <v>992</v>
      </c>
      <c r="F137" s="5" t="s">
        <v>681</v>
      </c>
      <c r="G137" s="5" t="s">
        <v>681</v>
      </c>
      <c r="H137" s="5" t="s">
        <v>993</v>
      </c>
      <c r="I137" s="5" t="s">
        <v>994</v>
      </c>
      <c r="J137" s="5" t="s">
        <v>9</v>
      </c>
      <c r="K137" s="15" t="s">
        <v>9</v>
      </c>
      <c r="L137" s="5" t="s">
        <v>240</v>
      </c>
      <c r="M137" s="5" t="s">
        <v>241</v>
      </c>
      <c r="N137" s="5" t="s">
        <v>995</v>
      </c>
      <c r="O137" s="5" t="s">
        <v>43</v>
      </c>
      <c r="P137" s="5" t="s">
        <v>43</v>
      </c>
      <c r="Q137" s="5" t="s">
        <v>645</v>
      </c>
    </row>
    <row r="138" customFormat="false" ht="32.8" hidden="false" customHeight="false" outlineLevel="0" collapsed="false">
      <c r="A138" s="5" t="n">
        <v>137</v>
      </c>
      <c r="B138" s="5" t="s">
        <v>24</v>
      </c>
      <c r="C138" s="5" t="s">
        <v>996</v>
      </c>
      <c r="D138" s="5" t="s">
        <v>203</v>
      </c>
      <c r="E138" s="5" t="s">
        <v>997</v>
      </c>
      <c r="F138" s="5" t="s">
        <v>681</v>
      </c>
      <c r="G138" s="5" t="s">
        <v>681</v>
      </c>
      <c r="H138" s="5" t="s">
        <v>998</v>
      </c>
      <c r="I138" s="5" t="s">
        <v>999</v>
      </c>
      <c r="J138" s="5" t="s">
        <v>9</v>
      </c>
      <c r="K138" s="15" t="s">
        <v>9</v>
      </c>
      <c r="L138" s="5" t="s">
        <v>240</v>
      </c>
      <c r="M138" s="5" t="s">
        <v>241</v>
      </c>
      <c r="N138" s="5" t="s">
        <v>1000</v>
      </c>
      <c r="O138" s="5" t="s">
        <v>43</v>
      </c>
      <c r="P138" s="5" t="s">
        <v>43</v>
      </c>
      <c r="Q138" s="5" t="s">
        <v>645</v>
      </c>
    </row>
    <row r="139" customFormat="false" ht="32.8" hidden="false" customHeight="false" outlineLevel="0" collapsed="false">
      <c r="A139" s="5" t="n">
        <v>138</v>
      </c>
      <c r="B139" s="5" t="s">
        <v>24</v>
      </c>
      <c r="C139" s="5" t="s">
        <v>1001</v>
      </c>
      <c r="D139" s="5" t="s">
        <v>203</v>
      </c>
      <c r="E139" s="5" t="s">
        <v>1002</v>
      </c>
      <c r="F139" s="5" t="s">
        <v>681</v>
      </c>
      <c r="G139" s="5" t="s">
        <v>681</v>
      </c>
      <c r="H139" s="5" t="s">
        <v>1003</v>
      </c>
      <c r="I139" s="5" t="s">
        <v>1004</v>
      </c>
      <c r="J139" s="5" t="s">
        <v>9</v>
      </c>
      <c r="K139" s="15" t="s">
        <v>9</v>
      </c>
      <c r="L139" s="5" t="s">
        <v>240</v>
      </c>
      <c r="M139" s="5" t="s">
        <v>241</v>
      </c>
      <c r="N139" s="5" t="s">
        <v>1005</v>
      </c>
      <c r="O139" s="5" t="s">
        <v>43</v>
      </c>
      <c r="P139" s="5" t="s">
        <v>43</v>
      </c>
      <c r="Q139" s="5" t="s">
        <v>645</v>
      </c>
    </row>
    <row r="140" customFormat="false" ht="32.8" hidden="false" customHeight="false" outlineLevel="0" collapsed="false">
      <c r="A140" s="5" t="n">
        <v>139</v>
      </c>
      <c r="B140" s="5" t="s">
        <v>24</v>
      </c>
      <c r="C140" s="5" t="s">
        <v>1006</v>
      </c>
      <c r="D140" s="5" t="s">
        <v>203</v>
      </c>
      <c r="E140" s="5" t="s">
        <v>1007</v>
      </c>
      <c r="F140" s="5" t="s">
        <v>681</v>
      </c>
      <c r="G140" s="5" t="s">
        <v>681</v>
      </c>
      <c r="H140" s="5" t="s">
        <v>1008</v>
      </c>
      <c r="I140" s="5" t="s">
        <v>1004</v>
      </c>
      <c r="J140" s="5" t="s">
        <v>9</v>
      </c>
      <c r="K140" s="15" t="s">
        <v>9</v>
      </c>
      <c r="L140" s="5" t="s">
        <v>240</v>
      </c>
      <c r="M140" s="5" t="s">
        <v>241</v>
      </c>
      <c r="N140" s="5" t="s">
        <v>1009</v>
      </c>
      <c r="O140" s="5" t="s">
        <v>43</v>
      </c>
      <c r="P140" s="5" t="s">
        <v>43</v>
      </c>
      <c r="Q140" s="5" t="s">
        <v>645</v>
      </c>
    </row>
    <row r="141" customFormat="false" ht="32.8" hidden="false" customHeight="false" outlineLevel="0" collapsed="false">
      <c r="A141" s="5" t="n">
        <v>140</v>
      </c>
      <c r="B141" s="5" t="s">
        <v>24</v>
      </c>
      <c r="C141" s="5" t="s">
        <v>1010</v>
      </c>
      <c r="D141" s="5" t="s">
        <v>203</v>
      </c>
      <c r="E141" s="5" t="s">
        <v>1011</v>
      </c>
      <c r="F141" s="5" t="s">
        <v>681</v>
      </c>
      <c r="G141" s="5" t="s">
        <v>681</v>
      </c>
      <c r="H141" s="5" t="s">
        <v>1012</v>
      </c>
      <c r="I141" s="5" t="s">
        <v>989</v>
      </c>
      <c r="J141" s="5" t="s">
        <v>9</v>
      </c>
      <c r="K141" s="15" t="s">
        <v>9</v>
      </c>
      <c r="L141" s="5" t="s">
        <v>240</v>
      </c>
      <c r="M141" s="5" t="s">
        <v>241</v>
      </c>
      <c r="N141" s="5" t="s">
        <v>1013</v>
      </c>
      <c r="O141" s="5" t="s">
        <v>43</v>
      </c>
      <c r="P141" s="5" t="s">
        <v>43</v>
      </c>
      <c r="Q141" s="5" t="s">
        <v>645</v>
      </c>
    </row>
    <row r="142" customFormat="false" ht="32.8" hidden="false" customHeight="false" outlineLevel="0" collapsed="false">
      <c r="A142" s="5" t="n">
        <v>141</v>
      </c>
      <c r="B142" s="5" t="s">
        <v>24</v>
      </c>
      <c r="C142" s="5" t="s">
        <v>1014</v>
      </c>
      <c r="D142" s="5" t="s">
        <v>203</v>
      </c>
      <c r="E142" s="5" t="s">
        <v>1015</v>
      </c>
      <c r="F142" s="5" t="s">
        <v>681</v>
      </c>
      <c r="G142" s="5" t="s">
        <v>681</v>
      </c>
      <c r="H142" s="5" t="s">
        <v>1016</v>
      </c>
      <c r="I142" s="5" t="s">
        <v>989</v>
      </c>
      <c r="J142" s="5" t="s">
        <v>9</v>
      </c>
      <c r="K142" s="15" t="s">
        <v>9</v>
      </c>
      <c r="L142" s="5" t="s">
        <v>240</v>
      </c>
      <c r="M142" s="5" t="s">
        <v>241</v>
      </c>
      <c r="N142" s="5" t="s">
        <v>1017</v>
      </c>
      <c r="O142" s="5" t="s">
        <v>43</v>
      </c>
      <c r="P142" s="5" t="s">
        <v>43</v>
      </c>
      <c r="Q142" s="5" t="s">
        <v>645</v>
      </c>
    </row>
    <row r="143" customFormat="false" ht="32.8" hidden="false" customHeight="false" outlineLevel="0" collapsed="false">
      <c r="A143" s="5" t="n">
        <v>142</v>
      </c>
      <c r="B143" s="5" t="s">
        <v>24</v>
      </c>
      <c r="C143" s="5" t="s">
        <v>1018</v>
      </c>
      <c r="D143" s="5" t="s">
        <v>203</v>
      </c>
      <c r="E143" s="5" t="s">
        <v>1019</v>
      </c>
      <c r="F143" s="5" t="s">
        <v>681</v>
      </c>
      <c r="G143" s="5" t="s">
        <v>681</v>
      </c>
      <c r="H143" s="5" t="s">
        <v>1020</v>
      </c>
      <c r="I143" s="5" t="s">
        <v>1021</v>
      </c>
      <c r="J143" s="5" t="s">
        <v>9</v>
      </c>
      <c r="K143" s="15" t="s">
        <v>9</v>
      </c>
      <c r="L143" s="5" t="s">
        <v>240</v>
      </c>
      <c r="M143" s="5" t="s">
        <v>241</v>
      </c>
      <c r="N143" s="5" t="s">
        <v>1022</v>
      </c>
      <c r="O143" s="5" t="s">
        <v>43</v>
      </c>
      <c r="P143" s="5" t="s">
        <v>43</v>
      </c>
      <c r="Q143" s="5" t="s">
        <v>645</v>
      </c>
    </row>
    <row r="144" customFormat="false" ht="32.8" hidden="false" customHeight="false" outlineLevel="0" collapsed="false">
      <c r="A144" s="5" t="n">
        <v>143</v>
      </c>
      <c r="B144" s="5" t="s">
        <v>24</v>
      </c>
      <c r="C144" s="5" t="s">
        <v>1023</v>
      </c>
      <c r="D144" s="5" t="s">
        <v>203</v>
      </c>
      <c r="E144" s="5" t="s">
        <v>1024</v>
      </c>
      <c r="F144" s="5" t="s">
        <v>681</v>
      </c>
      <c r="G144" s="5" t="s">
        <v>681</v>
      </c>
      <c r="H144" s="5" t="s">
        <v>1025</v>
      </c>
      <c r="I144" s="5" t="s">
        <v>1026</v>
      </c>
      <c r="J144" s="5" t="s">
        <v>9</v>
      </c>
      <c r="K144" s="15" t="s">
        <v>9</v>
      </c>
      <c r="L144" s="5" t="s">
        <v>240</v>
      </c>
      <c r="M144" s="5" t="s">
        <v>241</v>
      </c>
      <c r="N144" s="5" t="s">
        <v>1027</v>
      </c>
      <c r="O144" s="5" t="s">
        <v>43</v>
      </c>
      <c r="P144" s="5" t="s">
        <v>43</v>
      </c>
      <c r="Q144" s="5" t="s">
        <v>645</v>
      </c>
    </row>
    <row r="145" customFormat="false" ht="32.8" hidden="false" customHeight="false" outlineLevel="0" collapsed="false">
      <c r="A145" s="5" t="n">
        <v>144</v>
      </c>
      <c r="B145" s="5" t="s">
        <v>24</v>
      </c>
      <c r="C145" s="5" t="s">
        <v>1028</v>
      </c>
      <c r="D145" s="5" t="s">
        <v>203</v>
      </c>
      <c r="E145" s="5" t="s">
        <v>1029</v>
      </c>
      <c r="F145" s="5" t="s">
        <v>681</v>
      </c>
      <c r="G145" s="5" t="s">
        <v>681</v>
      </c>
      <c r="H145" s="5" t="s">
        <v>1030</v>
      </c>
      <c r="I145" s="5" t="s">
        <v>1026</v>
      </c>
      <c r="J145" s="5" t="s">
        <v>9</v>
      </c>
      <c r="K145" s="15" t="s">
        <v>9</v>
      </c>
      <c r="L145" s="5" t="s">
        <v>240</v>
      </c>
      <c r="M145" s="5" t="s">
        <v>241</v>
      </c>
      <c r="N145" s="5" t="s">
        <v>1031</v>
      </c>
      <c r="O145" s="5" t="s">
        <v>43</v>
      </c>
      <c r="P145" s="5" t="s">
        <v>43</v>
      </c>
      <c r="Q145" s="5" t="s">
        <v>645</v>
      </c>
    </row>
    <row r="146" customFormat="false" ht="32.8" hidden="false" customHeight="false" outlineLevel="0" collapsed="false">
      <c r="A146" s="5" t="n">
        <v>145</v>
      </c>
      <c r="B146" s="5" t="s">
        <v>24</v>
      </c>
      <c r="C146" s="5" t="s">
        <v>1032</v>
      </c>
      <c r="D146" s="5" t="s">
        <v>203</v>
      </c>
      <c r="E146" s="5" t="s">
        <v>1033</v>
      </c>
      <c r="F146" s="5" t="s">
        <v>681</v>
      </c>
      <c r="G146" s="5" t="s">
        <v>681</v>
      </c>
      <c r="H146" s="5" t="s">
        <v>1034</v>
      </c>
      <c r="I146" s="5" t="s">
        <v>1004</v>
      </c>
      <c r="J146" s="5" t="s">
        <v>9</v>
      </c>
      <c r="K146" s="15" t="s">
        <v>9</v>
      </c>
      <c r="L146" s="5" t="s">
        <v>240</v>
      </c>
      <c r="M146" s="5" t="s">
        <v>241</v>
      </c>
      <c r="N146" s="5" t="s">
        <v>1035</v>
      </c>
      <c r="O146" s="5" t="s">
        <v>43</v>
      </c>
      <c r="P146" s="5" t="s">
        <v>43</v>
      </c>
      <c r="Q146" s="5" t="s">
        <v>645</v>
      </c>
    </row>
    <row r="147" customFormat="false" ht="32.8" hidden="false" customHeight="false" outlineLevel="0" collapsed="false">
      <c r="A147" s="5" t="n">
        <v>146</v>
      </c>
      <c r="B147" s="5" t="s">
        <v>24</v>
      </c>
      <c r="C147" s="5" t="s">
        <v>1036</v>
      </c>
      <c r="D147" s="5" t="s">
        <v>203</v>
      </c>
      <c r="E147" s="5" t="s">
        <v>1037</v>
      </c>
      <c r="F147" s="5" t="s">
        <v>681</v>
      </c>
      <c r="G147" s="5" t="s">
        <v>681</v>
      </c>
      <c r="H147" s="5" t="s">
        <v>1038</v>
      </c>
      <c r="I147" s="5" t="s">
        <v>1004</v>
      </c>
      <c r="J147" s="5" t="s">
        <v>9</v>
      </c>
      <c r="K147" s="15" t="s">
        <v>9</v>
      </c>
      <c r="L147" s="5" t="s">
        <v>240</v>
      </c>
      <c r="M147" s="5" t="s">
        <v>241</v>
      </c>
      <c r="N147" s="5" t="s">
        <v>1039</v>
      </c>
      <c r="O147" s="5" t="s">
        <v>43</v>
      </c>
      <c r="P147" s="5" t="s">
        <v>43</v>
      </c>
      <c r="Q147" s="5" t="s">
        <v>645</v>
      </c>
    </row>
    <row r="148" customFormat="false" ht="32.8" hidden="false" customHeight="false" outlineLevel="0" collapsed="false">
      <c r="A148" s="5" t="n">
        <v>147</v>
      </c>
      <c r="B148" s="5" t="s">
        <v>24</v>
      </c>
      <c r="C148" s="5" t="s">
        <v>1040</v>
      </c>
      <c r="D148" s="5" t="s">
        <v>203</v>
      </c>
      <c r="E148" s="5" t="s">
        <v>1041</v>
      </c>
      <c r="F148" s="5" t="s">
        <v>681</v>
      </c>
      <c r="G148" s="5" t="s">
        <v>681</v>
      </c>
      <c r="H148" s="5" t="s">
        <v>1042</v>
      </c>
      <c r="I148" s="5" t="s">
        <v>1043</v>
      </c>
      <c r="J148" s="5" t="s">
        <v>9</v>
      </c>
      <c r="K148" s="15" t="s">
        <v>9</v>
      </c>
      <c r="L148" s="5" t="s">
        <v>240</v>
      </c>
      <c r="M148" s="5" t="s">
        <v>241</v>
      </c>
      <c r="N148" s="5" t="s">
        <v>1044</v>
      </c>
      <c r="O148" s="5" t="s">
        <v>43</v>
      </c>
      <c r="P148" s="5" t="s">
        <v>43</v>
      </c>
      <c r="Q148" s="5" t="s">
        <v>645</v>
      </c>
    </row>
    <row r="149" customFormat="false" ht="15" hidden="false" customHeight="false" outlineLevel="0" collapsed="false">
      <c r="A149" s="5" t="n">
        <v>148</v>
      </c>
      <c r="B149" s="5" t="s">
        <v>24</v>
      </c>
      <c r="C149" s="5" t="s">
        <v>1045</v>
      </c>
      <c r="D149" s="5" t="s">
        <v>203</v>
      </c>
      <c r="E149" s="5" t="s">
        <v>1046</v>
      </c>
      <c r="F149" s="5" t="s">
        <v>681</v>
      </c>
      <c r="G149" s="5" t="s">
        <v>681</v>
      </c>
      <c r="H149" s="5" t="s">
        <v>1047</v>
      </c>
      <c r="I149" s="5" t="s">
        <v>1048</v>
      </c>
      <c r="J149" s="5" t="s">
        <v>9</v>
      </c>
      <c r="K149" s="15" t="s">
        <v>9</v>
      </c>
      <c r="L149" s="5" t="s">
        <v>240</v>
      </c>
      <c r="M149" s="5" t="s">
        <v>241</v>
      </c>
      <c r="N149" s="5" t="s">
        <v>1049</v>
      </c>
      <c r="O149" s="5" t="s">
        <v>43</v>
      </c>
      <c r="P149" s="5" t="s">
        <v>43</v>
      </c>
      <c r="Q149" s="5" t="s">
        <v>1050</v>
      </c>
    </row>
    <row r="150" customFormat="false" ht="43.25" hidden="false" customHeight="false" outlineLevel="0" collapsed="false">
      <c r="A150" s="5" t="n">
        <v>149</v>
      </c>
      <c r="B150" s="5" t="s">
        <v>25</v>
      </c>
      <c r="C150" s="5" t="s">
        <v>1051</v>
      </c>
      <c r="D150" s="5" t="s">
        <v>616</v>
      </c>
      <c r="E150" s="5" t="s">
        <v>1052</v>
      </c>
      <c r="F150" s="5" t="s">
        <v>681</v>
      </c>
      <c r="G150" s="5" t="s">
        <v>681</v>
      </c>
      <c r="H150" s="5" t="s">
        <v>1053</v>
      </c>
      <c r="I150" s="5" t="s">
        <v>43</v>
      </c>
      <c r="J150" s="5" t="s">
        <v>9</v>
      </c>
      <c r="K150" s="15" t="s">
        <v>9</v>
      </c>
      <c r="L150" s="5" t="s">
        <v>240</v>
      </c>
      <c r="M150" s="5" t="s">
        <v>241</v>
      </c>
      <c r="N150" s="5" t="s">
        <v>1054</v>
      </c>
      <c r="O150" s="5" t="s">
        <v>1055</v>
      </c>
      <c r="P150" s="5" t="s">
        <v>43</v>
      </c>
      <c r="Q150" s="5" t="s">
        <v>1056</v>
      </c>
    </row>
    <row r="151" customFormat="false" ht="53.7" hidden="false" customHeight="false" outlineLevel="0" collapsed="false">
      <c r="A151" s="5" t="n">
        <v>150</v>
      </c>
      <c r="B151" s="5" t="s">
        <v>25</v>
      </c>
      <c r="C151" s="5" t="s">
        <v>1057</v>
      </c>
      <c r="D151" s="5" t="s">
        <v>266</v>
      </c>
      <c r="E151" s="5" t="s">
        <v>1058</v>
      </c>
      <c r="F151" s="5" t="s">
        <v>681</v>
      </c>
      <c r="G151" s="5" t="s">
        <v>681</v>
      </c>
      <c r="H151" s="5" t="s">
        <v>1053</v>
      </c>
      <c r="I151" s="5" t="s">
        <v>43</v>
      </c>
      <c r="J151" s="5" t="s">
        <v>9</v>
      </c>
      <c r="K151" s="15" t="s">
        <v>9</v>
      </c>
      <c r="L151" s="5" t="s">
        <v>240</v>
      </c>
      <c r="M151" s="5" t="s">
        <v>241</v>
      </c>
      <c r="N151" s="5" t="s">
        <v>1059</v>
      </c>
      <c r="O151" s="5" t="s">
        <v>43</v>
      </c>
      <c r="P151" s="5" t="s">
        <v>43</v>
      </c>
      <c r="Q151" s="5" t="s">
        <v>1060</v>
      </c>
    </row>
    <row r="152" customFormat="false" ht="43.25" hidden="false" customHeight="false" outlineLevel="0" collapsed="false">
      <c r="A152" s="5" t="n">
        <v>151</v>
      </c>
      <c r="B152" s="5" t="s">
        <v>25</v>
      </c>
      <c r="C152" s="5" t="s">
        <v>1061</v>
      </c>
      <c r="D152" s="5" t="s">
        <v>422</v>
      </c>
      <c r="E152" s="5" t="s">
        <v>1062</v>
      </c>
      <c r="F152" s="5" t="s">
        <v>681</v>
      </c>
      <c r="G152" s="5" t="s">
        <v>681</v>
      </c>
      <c r="H152" s="5" t="s">
        <v>1053</v>
      </c>
      <c r="I152" s="5" t="s">
        <v>43</v>
      </c>
      <c r="J152" s="5" t="s">
        <v>9</v>
      </c>
      <c r="K152" s="15" t="s">
        <v>9</v>
      </c>
      <c r="L152" s="5" t="s">
        <v>240</v>
      </c>
      <c r="M152" s="5" t="s">
        <v>241</v>
      </c>
      <c r="N152" s="5" t="s">
        <v>1063</v>
      </c>
      <c r="O152" s="5" t="s">
        <v>43</v>
      </c>
      <c r="P152" s="5" t="s">
        <v>43</v>
      </c>
      <c r="Q152" s="5" t="s">
        <v>1064</v>
      </c>
    </row>
    <row r="153" customFormat="false" ht="32.8" hidden="false" customHeight="false" outlineLevel="0" collapsed="false">
      <c r="A153" s="5" t="n">
        <v>152</v>
      </c>
      <c r="B153" s="5" t="s">
        <v>25</v>
      </c>
      <c r="C153" s="5" t="s">
        <v>1065</v>
      </c>
      <c r="D153" s="5" t="s">
        <v>453</v>
      </c>
      <c r="E153" s="5" t="s">
        <v>1066</v>
      </c>
      <c r="F153" s="5" t="s">
        <v>681</v>
      </c>
      <c r="G153" s="5" t="s">
        <v>681</v>
      </c>
      <c r="H153" s="5" t="s">
        <v>1053</v>
      </c>
      <c r="I153" s="5" t="s">
        <v>43</v>
      </c>
      <c r="J153" s="5" t="s">
        <v>9</v>
      </c>
      <c r="K153" s="15" t="s">
        <v>9</v>
      </c>
      <c r="L153" s="5" t="s">
        <v>240</v>
      </c>
      <c r="M153" s="5" t="s">
        <v>241</v>
      </c>
      <c r="N153" s="5" t="s">
        <v>1067</v>
      </c>
      <c r="O153" s="5" t="s">
        <v>43</v>
      </c>
      <c r="P153" s="5" t="s">
        <v>43</v>
      </c>
      <c r="Q153" s="5" t="s">
        <v>1068</v>
      </c>
    </row>
    <row r="154" customFormat="false" ht="32.8" hidden="false" customHeight="false" outlineLevel="0" collapsed="false">
      <c r="A154" s="5" t="n">
        <v>153</v>
      </c>
      <c r="B154" s="5" t="s">
        <v>25</v>
      </c>
      <c r="C154" s="5" t="s">
        <v>1069</v>
      </c>
      <c r="D154" s="5" t="s">
        <v>266</v>
      </c>
      <c r="E154" s="5" t="s">
        <v>1070</v>
      </c>
      <c r="F154" s="5" t="s">
        <v>681</v>
      </c>
      <c r="G154" s="5" t="s">
        <v>681</v>
      </c>
      <c r="H154" s="5" t="s">
        <v>1053</v>
      </c>
      <c r="I154" s="5" t="s">
        <v>43</v>
      </c>
      <c r="J154" s="5" t="s">
        <v>9</v>
      </c>
      <c r="K154" s="15" t="s">
        <v>9</v>
      </c>
      <c r="L154" s="5" t="s">
        <v>240</v>
      </c>
      <c r="M154" s="5" t="s">
        <v>241</v>
      </c>
      <c r="N154" s="5" t="s">
        <v>1071</v>
      </c>
      <c r="O154" s="5" t="s">
        <v>43</v>
      </c>
      <c r="P154" s="5" t="s">
        <v>43</v>
      </c>
      <c r="Q154" s="5" t="s">
        <v>1072</v>
      </c>
    </row>
    <row r="155" customFormat="false" ht="43.25" hidden="false" customHeight="false" outlineLevel="0" collapsed="false">
      <c r="A155" s="5" t="n">
        <v>154</v>
      </c>
      <c r="B155" s="5" t="s">
        <v>25</v>
      </c>
      <c r="C155" s="5" t="s">
        <v>1073</v>
      </c>
      <c r="D155" s="5" t="s">
        <v>422</v>
      </c>
      <c r="E155" s="5" t="s">
        <v>1074</v>
      </c>
      <c r="F155" s="5" t="s">
        <v>681</v>
      </c>
      <c r="G155" s="5" t="s">
        <v>681</v>
      </c>
      <c r="H155" s="5" t="s">
        <v>1053</v>
      </c>
      <c r="I155" s="5" t="s">
        <v>43</v>
      </c>
      <c r="J155" s="5" t="s">
        <v>9</v>
      </c>
      <c r="K155" s="15" t="s">
        <v>9</v>
      </c>
      <c r="L155" s="5" t="s">
        <v>240</v>
      </c>
      <c r="M155" s="5" t="s">
        <v>241</v>
      </c>
      <c r="N155" s="5" t="s">
        <v>1075</v>
      </c>
      <c r="O155" s="5" t="s">
        <v>1076</v>
      </c>
      <c r="P155" s="5" t="s">
        <v>43</v>
      </c>
      <c r="Q155" s="5" t="s">
        <v>1077</v>
      </c>
    </row>
    <row r="156" customFormat="false" ht="53.7" hidden="false" customHeight="false" outlineLevel="0" collapsed="false">
      <c r="A156" s="5" t="n">
        <v>155</v>
      </c>
      <c r="B156" s="5" t="s">
        <v>25</v>
      </c>
      <c r="C156" s="5" t="s">
        <v>1078</v>
      </c>
      <c r="D156" s="5" t="s">
        <v>397</v>
      </c>
      <c r="E156" s="5" t="s">
        <v>1079</v>
      </c>
      <c r="F156" s="5" t="s">
        <v>681</v>
      </c>
      <c r="G156" s="5" t="s">
        <v>681</v>
      </c>
      <c r="H156" s="5" t="s">
        <v>1053</v>
      </c>
      <c r="I156" s="5" t="s">
        <v>43</v>
      </c>
      <c r="J156" s="5" t="s">
        <v>12</v>
      </c>
      <c r="K156" s="20" t="s">
        <v>12</v>
      </c>
      <c r="L156" s="5" t="s">
        <v>391</v>
      </c>
      <c r="M156" s="5" t="s">
        <v>43</v>
      </c>
      <c r="N156" s="5" t="s">
        <v>1080</v>
      </c>
      <c r="O156" s="5" t="s">
        <v>1081</v>
      </c>
      <c r="P156" s="5" t="s">
        <v>1082</v>
      </c>
      <c r="Q156" s="5" t="s">
        <v>1083</v>
      </c>
    </row>
    <row r="157" customFormat="false" ht="64.15" hidden="false" customHeight="false" outlineLevel="0" collapsed="false">
      <c r="A157" s="5" t="n">
        <v>156</v>
      </c>
      <c r="B157" s="5" t="s">
        <v>25</v>
      </c>
      <c r="C157" s="5" t="s">
        <v>1084</v>
      </c>
      <c r="D157" s="5" t="s">
        <v>298</v>
      </c>
      <c r="E157" s="5" t="s">
        <v>1085</v>
      </c>
      <c r="F157" s="5" t="s">
        <v>681</v>
      </c>
      <c r="G157" s="5" t="s">
        <v>681</v>
      </c>
      <c r="H157" s="5" t="s">
        <v>1053</v>
      </c>
      <c r="I157" s="5" t="s">
        <v>43</v>
      </c>
      <c r="J157" s="5" t="s">
        <v>9</v>
      </c>
      <c r="K157" s="15" t="s">
        <v>9</v>
      </c>
      <c r="L157" s="5" t="s">
        <v>240</v>
      </c>
      <c r="M157" s="5" t="s">
        <v>241</v>
      </c>
      <c r="N157" s="5" t="s">
        <v>1086</v>
      </c>
      <c r="O157" s="5" t="s">
        <v>1087</v>
      </c>
      <c r="P157" s="5" t="s">
        <v>43</v>
      </c>
      <c r="Q157" s="5" t="s">
        <v>1088</v>
      </c>
    </row>
    <row r="158" customFormat="false" ht="53.7" hidden="false" customHeight="false" outlineLevel="0" collapsed="false">
      <c r="A158" s="5" t="n">
        <v>157</v>
      </c>
      <c r="B158" s="5" t="s">
        <v>25</v>
      </c>
      <c r="C158" s="5" t="s">
        <v>1089</v>
      </c>
      <c r="D158" s="5" t="s">
        <v>616</v>
      </c>
      <c r="E158" s="5" t="s">
        <v>1090</v>
      </c>
      <c r="F158" s="5" t="s">
        <v>681</v>
      </c>
      <c r="G158" s="5" t="s">
        <v>681</v>
      </c>
      <c r="H158" s="5" t="s">
        <v>1053</v>
      </c>
      <c r="I158" s="5" t="s">
        <v>43</v>
      </c>
      <c r="J158" s="5" t="s">
        <v>9</v>
      </c>
      <c r="K158" s="15" t="s">
        <v>9</v>
      </c>
      <c r="L158" s="5" t="s">
        <v>240</v>
      </c>
      <c r="M158" s="5" t="s">
        <v>241</v>
      </c>
      <c r="N158" s="5" t="s">
        <v>1091</v>
      </c>
      <c r="O158" s="5" t="s">
        <v>43</v>
      </c>
      <c r="P158" s="5" t="s">
        <v>43</v>
      </c>
      <c r="Q158" s="5" t="s">
        <v>1092</v>
      </c>
    </row>
    <row r="159" customFormat="false" ht="43.25" hidden="false" customHeight="false" outlineLevel="0" collapsed="false">
      <c r="A159" s="5" t="n">
        <v>158</v>
      </c>
      <c r="B159" s="5" t="s">
        <v>25</v>
      </c>
      <c r="C159" s="5" t="s">
        <v>1093</v>
      </c>
      <c r="D159" s="5" t="s">
        <v>298</v>
      </c>
      <c r="E159" s="5" t="s">
        <v>1094</v>
      </c>
      <c r="F159" s="5" t="s">
        <v>681</v>
      </c>
      <c r="G159" s="5" t="s">
        <v>681</v>
      </c>
      <c r="H159" s="5" t="s">
        <v>1095</v>
      </c>
      <c r="I159" s="5" t="s">
        <v>43</v>
      </c>
      <c r="J159" s="5" t="s">
        <v>43</v>
      </c>
      <c r="K159" s="15" t="s">
        <v>9</v>
      </c>
      <c r="L159" s="5" t="s">
        <v>1096</v>
      </c>
      <c r="M159" s="5" t="s">
        <v>241</v>
      </c>
      <c r="N159" s="5" t="s">
        <v>1097</v>
      </c>
      <c r="O159" s="5" t="s">
        <v>43</v>
      </c>
      <c r="P159" s="5" t="s">
        <v>43</v>
      </c>
      <c r="Q159" s="5" t="s">
        <v>1098</v>
      </c>
    </row>
  </sheetData>
  <autoFilter ref="A1:Q159"/>
  <conditionalFormatting sqref="K2:K159">
    <cfRule type="cellIs" priority="2" operator="equal" aboveAverage="0" equalAverage="0" bottom="0" percent="0" rank="0" text="" dxfId="11">
      <formula>"COMPLETED"</formula>
    </cfRule>
    <cfRule type="cellIs" priority="3" operator="equal" aboveAverage="0" equalAverage="0" bottom="0" percent="0" rank="0" text="" dxfId="12">
      <formula>"IN PROGRESS"</formula>
    </cfRule>
    <cfRule type="cellIs" priority="4" operator="equal" aboveAverage="0" equalAverage="0" bottom="0" percent="0" rank="0" text="" dxfId="13">
      <formula>"BLOCKED"</formula>
    </cfRule>
    <cfRule type="cellIs" priority="5" operator="equal" aboveAverage="0" equalAverage="0" bottom="0" percent="0" rank="0" text="" dxfId="14">
      <formula>"YET TO START"</formula>
    </cfRule>
  </conditionalFormatting>
  <dataValidations count="1">
    <dataValidation allowBlank="false" errorStyle="stop" operator="between" showDropDown="false" showErrorMessage="false" showInputMessage="false" sqref="K2:K159" type="list">
      <formula1>"COMPLETED,IN PROGRESS,BLOCKED,YET TO START"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45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4" t="s">
        <v>32</v>
      </c>
      <c r="B1" s="4" t="s">
        <v>209</v>
      </c>
      <c r="C1" s="4" t="s">
        <v>16</v>
      </c>
      <c r="D1" s="4" t="s">
        <v>211</v>
      </c>
      <c r="E1" s="4" t="s">
        <v>212</v>
      </c>
      <c r="F1" s="4" t="s">
        <v>216</v>
      </c>
      <c r="G1" s="4" t="s">
        <v>218</v>
      </c>
      <c r="H1" s="4" t="s">
        <v>1099</v>
      </c>
      <c r="I1" s="4" t="s">
        <v>220</v>
      </c>
      <c r="J1" s="4" t="s">
        <v>221</v>
      </c>
    </row>
    <row r="2" customFormat="false" ht="22.35" hidden="false" customHeight="false" outlineLevel="0" collapsed="false">
      <c r="A2" s="5" t="n">
        <v>1</v>
      </c>
      <c r="B2" s="5" t="s">
        <v>236</v>
      </c>
      <c r="C2" s="5" t="s">
        <v>18</v>
      </c>
      <c r="D2" s="5" t="s">
        <v>237</v>
      </c>
      <c r="E2" s="5" t="s">
        <v>226</v>
      </c>
      <c r="F2" s="5" t="s">
        <v>9</v>
      </c>
      <c r="G2" s="5" t="s">
        <v>241</v>
      </c>
      <c r="H2" s="5" t="s">
        <v>242</v>
      </c>
      <c r="I2" s="5" t="s">
        <v>43</v>
      </c>
      <c r="J2" s="5" t="s">
        <v>43</v>
      </c>
    </row>
    <row r="3" customFormat="false" ht="22.35" hidden="false" customHeight="false" outlineLevel="0" collapsed="false">
      <c r="A3" s="5" t="n">
        <v>2</v>
      </c>
      <c r="B3" s="5" t="s">
        <v>244</v>
      </c>
      <c r="C3" s="5" t="s">
        <v>18</v>
      </c>
      <c r="D3" s="5" t="s">
        <v>245</v>
      </c>
      <c r="E3" s="5" t="s">
        <v>246</v>
      </c>
      <c r="F3" s="5" t="s">
        <v>9</v>
      </c>
      <c r="G3" s="5" t="s">
        <v>241</v>
      </c>
      <c r="H3" s="5" t="s">
        <v>250</v>
      </c>
      <c r="I3" s="5" t="s">
        <v>43</v>
      </c>
      <c r="J3" s="5" t="s">
        <v>43</v>
      </c>
    </row>
    <row r="4" customFormat="false" ht="32.8" hidden="false" customHeight="false" outlineLevel="0" collapsed="false">
      <c r="A4" s="5" t="n">
        <v>3</v>
      </c>
      <c r="B4" s="5" t="s">
        <v>252</v>
      </c>
      <c r="C4" s="5" t="s">
        <v>18</v>
      </c>
      <c r="D4" s="5" t="s">
        <v>254</v>
      </c>
      <c r="E4" s="5" t="s">
        <v>226</v>
      </c>
      <c r="F4" s="5" t="s">
        <v>9</v>
      </c>
      <c r="G4" s="5" t="s">
        <v>241</v>
      </c>
      <c r="H4" s="5" t="s">
        <v>257</v>
      </c>
      <c r="I4" s="5" t="s">
        <v>43</v>
      </c>
      <c r="J4" s="5" t="s">
        <v>43</v>
      </c>
    </row>
    <row r="5" customFormat="false" ht="15" hidden="false" customHeight="false" outlineLevel="0" collapsed="false">
      <c r="A5" s="5" t="n">
        <v>4</v>
      </c>
      <c r="B5" s="5" t="s">
        <v>259</v>
      </c>
      <c r="C5" s="5" t="s">
        <v>18</v>
      </c>
      <c r="D5" s="5" t="s">
        <v>260</v>
      </c>
      <c r="E5" s="5" t="s">
        <v>226</v>
      </c>
      <c r="F5" s="5" t="s">
        <v>9</v>
      </c>
      <c r="G5" s="5" t="s">
        <v>241</v>
      </c>
      <c r="H5" s="5" t="s">
        <v>263</v>
      </c>
      <c r="I5" s="5" t="s">
        <v>43</v>
      </c>
      <c r="J5" s="5" t="s">
        <v>43</v>
      </c>
    </row>
    <row r="6" customFormat="false" ht="22.35" hidden="false" customHeight="false" outlineLevel="0" collapsed="false">
      <c r="A6" s="5" t="n">
        <v>5</v>
      </c>
      <c r="B6" s="5" t="s">
        <v>265</v>
      </c>
      <c r="C6" s="5" t="s">
        <v>18</v>
      </c>
      <c r="D6" s="5" t="s">
        <v>267</v>
      </c>
      <c r="E6" s="5" t="s">
        <v>226</v>
      </c>
      <c r="F6" s="5" t="s">
        <v>9</v>
      </c>
      <c r="G6" s="5" t="s">
        <v>241</v>
      </c>
      <c r="H6" s="5" t="s">
        <v>43</v>
      </c>
      <c r="I6" s="5" t="s">
        <v>270</v>
      </c>
      <c r="J6" s="5" t="s">
        <v>43</v>
      </c>
    </row>
    <row r="7" customFormat="false" ht="53.7" hidden="false" customHeight="false" outlineLevel="0" collapsed="false">
      <c r="A7" s="5" t="n">
        <v>6</v>
      </c>
      <c r="B7" s="5" t="s">
        <v>271</v>
      </c>
      <c r="C7" s="5" t="s">
        <v>18</v>
      </c>
      <c r="D7" s="5" t="s">
        <v>272</v>
      </c>
      <c r="E7" s="5" t="s">
        <v>226</v>
      </c>
      <c r="F7" s="5" t="s">
        <v>10</v>
      </c>
      <c r="G7" s="5" t="s">
        <v>276</v>
      </c>
      <c r="H7" s="5" t="s">
        <v>277</v>
      </c>
      <c r="I7" s="5" t="s">
        <v>278</v>
      </c>
      <c r="J7" s="5" t="s">
        <v>43</v>
      </c>
    </row>
    <row r="8" customFormat="false" ht="53.7" hidden="false" customHeight="false" outlineLevel="0" collapsed="false">
      <c r="A8" s="5" t="n">
        <v>7</v>
      </c>
      <c r="B8" s="5" t="s">
        <v>280</v>
      </c>
      <c r="C8" s="5" t="s">
        <v>18</v>
      </c>
      <c r="D8" s="5" t="s">
        <v>281</v>
      </c>
      <c r="E8" s="5" t="s">
        <v>226</v>
      </c>
      <c r="F8" s="5" t="s">
        <v>9</v>
      </c>
      <c r="G8" s="5" t="s">
        <v>241</v>
      </c>
      <c r="H8" s="5" t="s">
        <v>284</v>
      </c>
      <c r="I8" s="5" t="s">
        <v>43</v>
      </c>
      <c r="J8" s="5" t="s">
        <v>43</v>
      </c>
    </row>
    <row r="9" customFormat="false" ht="53.7" hidden="false" customHeight="false" outlineLevel="0" collapsed="false">
      <c r="A9" s="5" t="n">
        <v>8</v>
      </c>
      <c r="B9" s="5" t="s">
        <v>286</v>
      </c>
      <c r="C9" s="5" t="s">
        <v>18</v>
      </c>
      <c r="D9" s="5" t="s">
        <v>287</v>
      </c>
      <c r="E9" s="5" t="s">
        <v>226</v>
      </c>
      <c r="F9" s="5" t="s">
        <v>9</v>
      </c>
      <c r="G9" s="5" t="s">
        <v>241</v>
      </c>
      <c r="H9" s="5" t="s">
        <v>290</v>
      </c>
      <c r="I9" s="5" t="s">
        <v>43</v>
      </c>
      <c r="J9" s="5" t="s">
        <v>43</v>
      </c>
    </row>
    <row r="10" customFormat="false" ht="32.8" hidden="false" customHeight="false" outlineLevel="0" collapsed="false">
      <c r="A10" s="5" t="n">
        <v>9</v>
      </c>
      <c r="B10" s="5" t="s">
        <v>292</v>
      </c>
      <c r="C10" s="5" t="s">
        <v>18</v>
      </c>
      <c r="D10" s="5" t="s">
        <v>293</v>
      </c>
      <c r="E10" s="5" t="s">
        <v>226</v>
      </c>
      <c r="F10" s="5" t="s">
        <v>9</v>
      </c>
      <c r="G10" s="5" t="s">
        <v>241</v>
      </c>
      <c r="H10" s="5" t="s">
        <v>296</v>
      </c>
      <c r="I10" s="5" t="s">
        <v>43</v>
      </c>
      <c r="J10" s="5" t="s">
        <v>43</v>
      </c>
    </row>
    <row r="11" customFormat="false" ht="15" hidden="false" customHeight="false" outlineLevel="0" collapsed="false">
      <c r="A11" s="5" t="n">
        <v>10</v>
      </c>
      <c r="B11" s="5" t="s">
        <v>186</v>
      </c>
      <c r="C11" s="5" t="s">
        <v>18</v>
      </c>
      <c r="D11" s="5" t="s">
        <v>169</v>
      </c>
      <c r="E11" s="5" t="s">
        <v>226</v>
      </c>
      <c r="F11" s="5" t="s">
        <v>9</v>
      </c>
      <c r="G11" s="5" t="s">
        <v>241</v>
      </c>
      <c r="H11" s="5" t="s">
        <v>43</v>
      </c>
      <c r="I11" s="5" t="s">
        <v>43</v>
      </c>
      <c r="J11" s="5" t="s">
        <v>43</v>
      </c>
    </row>
    <row r="12" customFormat="false" ht="15" hidden="false" customHeight="false" outlineLevel="0" collapsed="false">
      <c r="A12" s="5" t="n">
        <v>11</v>
      </c>
      <c r="B12" s="5" t="s">
        <v>301</v>
      </c>
      <c r="C12" s="5" t="s">
        <v>18</v>
      </c>
      <c r="D12" s="5" t="s">
        <v>302</v>
      </c>
      <c r="E12" s="5" t="s">
        <v>226</v>
      </c>
      <c r="F12" s="5" t="s">
        <v>9</v>
      </c>
      <c r="G12" s="5" t="s">
        <v>241</v>
      </c>
      <c r="H12" s="5" t="s">
        <v>43</v>
      </c>
      <c r="I12" s="5" t="s">
        <v>43</v>
      </c>
      <c r="J12" s="5" t="s">
        <v>43</v>
      </c>
    </row>
    <row r="13" customFormat="false" ht="15" hidden="false" customHeight="false" outlineLevel="0" collapsed="false">
      <c r="A13" s="5" t="n">
        <v>12</v>
      </c>
      <c r="B13" s="5" t="s">
        <v>305</v>
      </c>
      <c r="C13" s="5" t="s">
        <v>18</v>
      </c>
      <c r="D13" s="5" t="s">
        <v>306</v>
      </c>
      <c r="E13" s="5" t="s">
        <v>226</v>
      </c>
      <c r="F13" s="5" t="s">
        <v>9</v>
      </c>
      <c r="G13" s="5" t="s">
        <v>241</v>
      </c>
      <c r="H13" s="5" t="s">
        <v>43</v>
      </c>
      <c r="I13" s="5" t="s">
        <v>43</v>
      </c>
      <c r="J13" s="5" t="s">
        <v>43</v>
      </c>
    </row>
    <row r="14" customFormat="false" ht="43.25" hidden="false" customHeight="false" outlineLevel="0" collapsed="false">
      <c r="A14" s="5" t="n">
        <v>13</v>
      </c>
      <c r="B14" s="5" t="s">
        <v>309</v>
      </c>
      <c r="C14" s="5" t="s">
        <v>18</v>
      </c>
      <c r="D14" s="5" t="s">
        <v>310</v>
      </c>
      <c r="E14" s="5" t="s">
        <v>246</v>
      </c>
      <c r="F14" s="5" t="s">
        <v>10</v>
      </c>
      <c r="G14" s="5" t="s">
        <v>313</v>
      </c>
      <c r="H14" s="5" t="s">
        <v>314</v>
      </c>
      <c r="I14" s="5" t="s">
        <v>43</v>
      </c>
      <c r="J14" s="5" t="s">
        <v>43</v>
      </c>
    </row>
    <row r="15" customFormat="false" ht="53.7" hidden="false" customHeight="false" outlineLevel="0" collapsed="false">
      <c r="A15" s="5" t="n">
        <v>14</v>
      </c>
      <c r="B15" s="5" t="s">
        <v>195</v>
      </c>
      <c r="C15" s="5" t="s">
        <v>18</v>
      </c>
      <c r="D15" s="5" t="s">
        <v>316</v>
      </c>
      <c r="E15" s="5" t="s">
        <v>226</v>
      </c>
      <c r="F15" s="5" t="s">
        <v>9</v>
      </c>
      <c r="G15" s="5" t="s">
        <v>241</v>
      </c>
      <c r="H15" s="5" t="s">
        <v>319</v>
      </c>
      <c r="I15" s="5" t="s">
        <v>43</v>
      </c>
      <c r="J15" s="5" t="s">
        <v>43</v>
      </c>
    </row>
    <row r="16" customFormat="false" ht="15" hidden="false" customHeight="false" outlineLevel="0" collapsed="false">
      <c r="A16" s="5" t="n">
        <v>15</v>
      </c>
      <c r="B16" s="5" t="s">
        <v>321</v>
      </c>
      <c r="C16" s="5" t="s">
        <v>18</v>
      </c>
      <c r="D16" s="5" t="s">
        <v>322</v>
      </c>
      <c r="E16" s="5" t="s">
        <v>226</v>
      </c>
      <c r="F16" s="5" t="s">
        <v>9</v>
      </c>
      <c r="G16" s="5" t="s">
        <v>241</v>
      </c>
      <c r="H16" s="5" t="s">
        <v>43</v>
      </c>
      <c r="I16" s="5" t="s">
        <v>43</v>
      </c>
      <c r="J16" s="5" t="s">
        <v>43</v>
      </c>
    </row>
    <row r="17" customFormat="false" ht="15" hidden="false" customHeight="false" outlineLevel="0" collapsed="false">
      <c r="A17" s="5" t="n">
        <v>16</v>
      </c>
      <c r="B17" s="5" t="s">
        <v>325</v>
      </c>
      <c r="C17" s="5" t="s">
        <v>18</v>
      </c>
      <c r="D17" s="5" t="s">
        <v>326</v>
      </c>
      <c r="E17" s="5" t="s">
        <v>246</v>
      </c>
      <c r="F17" s="5" t="s">
        <v>9</v>
      </c>
      <c r="G17" s="5" t="s">
        <v>241</v>
      </c>
      <c r="H17" s="5" t="s">
        <v>329</v>
      </c>
      <c r="I17" s="5" t="s">
        <v>43</v>
      </c>
      <c r="J17" s="5" t="s">
        <v>43</v>
      </c>
    </row>
    <row r="18" customFormat="false" ht="43.25" hidden="false" customHeight="false" outlineLevel="0" collapsed="false">
      <c r="A18" s="5" t="n">
        <v>17</v>
      </c>
      <c r="B18" s="5" t="s">
        <v>330</v>
      </c>
      <c r="C18" s="5" t="s">
        <v>18</v>
      </c>
      <c r="D18" s="5" t="s">
        <v>331</v>
      </c>
      <c r="E18" s="5" t="s">
        <v>246</v>
      </c>
      <c r="F18" s="5" t="s">
        <v>9</v>
      </c>
      <c r="G18" s="5" t="s">
        <v>241</v>
      </c>
      <c r="H18" s="5" t="s">
        <v>334</v>
      </c>
      <c r="I18" s="5" t="s">
        <v>335</v>
      </c>
      <c r="J18" s="5" t="s">
        <v>43</v>
      </c>
    </row>
    <row r="19" customFormat="false" ht="15" hidden="false" customHeight="false" outlineLevel="0" collapsed="false">
      <c r="A19" s="5" t="n">
        <v>18</v>
      </c>
      <c r="B19" s="5" t="s">
        <v>337</v>
      </c>
      <c r="C19" s="5" t="s">
        <v>18</v>
      </c>
      <c r="D19" s="5" t="s">
        <v>339</v>
      </c>
      <c r="E19" s="5" t="s">
        <v>226</v>
      </c>
      <c r="F19" s="5" t="s">
        <v>9</v>
      </c>
      <c r="G19" s="5" t="s">
        <v>241</v>
      </c>
      <c r="H19" s="5" t="s">
        <v>342</v>
      </c>
      <c r="I19" s="5" t="s">
        <v>43</v>
      </c>
      <c r="J19" s="5" t="s">
        <v>43</v>
      </c>
    </row>
    <row r="20" customFormat="false" ht="15" hidden="false" customHeight="false" outlineLevel="0" collapsed="false">
      <c r="A20" s="5" t="n">
        <v>19</v>
      </c>
      <c r="B20" s="5" t="s">
        <v>344</v>
      </c>
      <c r="C20" s="5" t="s">
        <v>18</v>
      </c>
      <c r="D20" s="5" t="s">
        <v>345</v>
      </c>
      <c r="E20" s="5" t="s">
        <v>226</v>
      </c>
      <c r="F20" s="5" t="s">
        <v>9</v>
      </c>
      <c r="G20" s="5" t="s">
        <v>241</v>
      </c>
      <c r="H20" s="5" t="s">
        <v>348</v>
      </c>
      <c r="I20" s="5" t="s">
        <v>43</v>
      </c>
      <c r="J20" s="5" t="s">
        <v>43</v>
      </c>
    </row>
    <row r="21" customFormat="false" ht="15" hidden="false" customHeight="false" outlineLevel="0" collapsed="false">
      <c r="A21" s="5" t="n">
        <v>20</v>
      </c>
      <c r="B21" s="5" t="s">
        <v>350</v>
      </c>
      <c r="C21" s="5" t="s">
        <v>18</v>
      </c>
      <c r="D21" s="5" t="s">
        <v>351</v>
      </c>
      <c r="E21" s="5" t="s">
        <v>226</v>
      </c>
      <c r="F21" s="5" t="s">
        <v>9</v>
      </c>
      <c r="G21" s="5" t="s">
        <v>241</v>
      </c>
      <c r="H21" s="5" t="s">
        <v>354</v>
      </c>
      <c r="I21" s="5" t="s">
        <v>43</v>
      </c>
      <c r="J21" s="5" t="s">
        <v>43</v>
      </c>
    </row>
    <row r="22" customFormat="false" ht="15" hidden="false" customHeight="false" outlineLevel="0" collapsed="false">
      <c r="A22" s="5" t="n">
        <v>21</v>
      </c>
      <c r="B22" s="5" t="s">
        <v>356</v>
      </c>
      <c r="C22" s="5" t="s">
        <v>18</v>
      </c>
      <c r="D22" s="5" t="s">
        <v>358</v>
      </c>
      <c r="E22" s="5" t="s">
        <v>226</v>
      </c>
      <c r="F22" s="5" t="s">
        <v>9</v>
      </c>
      <c r="G22" s="5" t="s">
        <v>241</v>
      </c>
      <c r="H22" s="5" t="s">
        <v>361</v>
      </c>
      <c r="I22" s="5" t="s">
        <v>43</v>
      </c>
      <c r="J22" s="5" t="s">
        <v>43</v>
      </c>
    </row>
    <row r="23" customFormat="false" ht="15" hidden="false" customHeight="false" outlineLevel="0" collapsed="false">
      <c r="A23" s="5" t="n">
        <v>22</v>
      </c>
      <c r="B23" s="5" t="s">
        <v>371</v>
      </c>
      <c r="C23" s="5" t="s">
        <v>18</v>
      </c>
      <c r="D23" s="5" t="s">
        <v>373</v>
      </c>
      <c r="E23" s="5" t="s">
        <v>226</v>
      </c>
      <c r="F23" s="5" t="s">
        <v>9</v>
      </c>
      <c r="G23" s="5" t="s">
        <v>241</v>
      </c>
      <c r="H23" s="5" t="s">
        <v>43</v>
      </c>
      <c r="I23" s="5" t="s">
        <v>43</v>
      </c>
      <c r="J23" s="5" t="s">
        <v>43</v>
      </c>
    </row>
    <row r="24" customFormat="false" ht="15" hidden="false" customHeight="false" outlineLevel="0" collapsed="false">
      <c r="A24" s="5" t="n">
        <v>23</v>
      </c>
      <c r="B24" s="5" t="s">
        <v>376</v>
      </c>
      <c r="C24" s="5" t="s">
        <v>18</v>
      </c>
      <c r="D24" s="5" t="s">
        <v>377</v>
      </c>
      <c r="E24" s="5" t="s">
        <v>246</v>
      </c>
      <c r="F24" s="5" t="s">
        <v>9</v>
      </c>
      <c r="G24" s="5" t="s">
        <v>241</v>
      </c>
      <c r="H24" s="5" t="s">
        <v>43</v>
      </c>
      <c r="I24" s="5" t="s">
        <v>43</v>
      </c>
      <c r="J24" s="5" t="s">
        <v>43</v>
      </c>
    </row>
    <row r="25" customFormat="false" ht="53.7" hidden="false" customHeight="false" outlineLevel="0" collapsed="false">
      <c r="A25" s="5" t="n">
        <v>24</v>
      </c>
      <c r="B25" s="5" t="s">
        <v>380</v>
      </c>
      <c r="C25" s="5" t="s">
        <v>18</v>
      </c>
      <c r="D25" s="5" t="s">
        <v>382</v>
      </c>
      <c r="E25" s="5" t="s">
        <v>226</v>
      </c>
      <c r="F25" s="5" t="s">
        <v>9</v>
      </c>
      <c r="G25" s="5" t="s">
        <v>241</v>
      </c>
      <c r="H25" s="5" t="s">
        <v>385</v>
      </c>
      <c r="I25" s="5" t="s">
        <v>43</v>
      </c>
      <c r="J25" s="5" t="s">
        <v>43</v>
      </c>
    </row>
    <row r="26" customFormat="false" ht="15" hidden="false" customHeight="false" outlineLevel="0" collapsed="false">
      <c r="A26" s="5" t="n">
        <v>25</v>
      </c>
      <c r="B26" s="5" t="s">
        <v>405</v>
      </c>
      <c r="C26" s="5" t="s">
        <v>18</v>
      </c>
      <c r="D26" s="5" t="s">
        <v>406</v>
      </c>
      <c r="E26" s="5" t="s">
        <v>246</v>
      </c>
      <c r="F26" s="5" t="s">
        <v>9</v>
      </c>
      <c r="G26" s="5" t="s">
        <v>241</v>
      </c>
      <c r="H26" s="5" t="s">
        <v>43</v>
      </c>
      <c r="I26" s="5" t="s">
        <v>43</v>
      </c>
      <c r="J26" s="5" t="s">
        <v>43</v>
      </c>
    </row>
    <row r="27" customFormat="false" ht="32.8" hidden="false" customHeight="false" outlineLevel="0" collapsed="false">
      <c r="A27" s="5" t="n">
        <v>26</v>
      </c>
      <c r="B27" s="5" t="s">
        <v>409</v>
      </c>
      <c r="C27" s="5" t="s">
        <v>18</v>
      </c>
      <c r="D27" s="5" t="s">
        <v>410</v>
      </c>
      <c r="E27" s="5" t="s">
        <v>246</v>
      </c>
      <c r="F27" s="5" t="s">
        <v>9</v>
      </c>
      <c r="G27" s="5" t="s">
        <v>241</v>
      </c>
      <c r="H27" s="5" t="s">
        <v>413</v>
      </c>
      <c r="I27" s="5" t="s">
        <v>43</v>
      </c>
      <c r="J27" s="5" t="s">
        <v>43</v>
      </c>
    </row>
    <row r="28" customFormat="false" ht="22.35" hidden="false" customHeight="false" outlineLevel="0" collapsed="false">
      <c r="A28" s="5" t="n">
        <v>27</v>
      </c>
      <c r="B28" s="5" t="s">
        <v>173</v>
      </c>
      <c r="C28" s="5" t="s">
        <v>18</v>
      </c>
      <c r="D28" s="5" t="s">
        <v>415</v>
      </c>
      <c r="E28" s="5" t="s">
        <v>226</v>
      </c>
      <c r="F28" s="5" t="s">
        <v>9</v>
      </c>
      <c r="G28" s="5" t="s">
        <v>241</v>
      </c>
      <c r="H28" s="5" t="s">
        <v>418</v>
      </c>
      <c r="I28" s="5" t="s">
        <v>419</v>
      </c>
      <c r="J28" s="5" t="s">
        <v>43</v>
      </c>
    </row>
    <row r="29" customFormat="false" ht="15" hidden="false" customHeight="false" outlineLevel="0" collapsed="false">
      <c r="A29" s="5" t="n">
        <v>28</v>
      </c>
      <c r="B29" s="5" t="s">
        <v>421</v>
      </c>
      <c r="C29" s="5" t="s">
        <v>18</v>
      </c>
      <c r="D29" s="5" t="s">
        <v>423</v>
      </c>
      <c r="E29" s="5" t="s">
        <v>226</v>
      </c>
      <c r="F29" s="5" t="s">
        <v>9</v>
      </c>
      <c r="G29" s="5" t="s">
        <v>241</v>
      </c>
      <c r="H29" s="5" t="s">
        <v>43</v>
      </c>
      <c r="I29" s="5" t="s">
        <v>43</v>
      </c>
      <c r="J29" s="5" t="s">
        <v>43</v>
      </c>
    </row>
    <row r="30" customFormat="false" ht="43.25" hidden="false" customHeight="false" outlineLevel="0" collapsed="false">
      <c r="A30" s="5" t="n">
        <v>29</v>
      </c>
      <c r="B30" s="5" t="s">
        <v>426</v>
      </c>
      <c r="C30" s="5" t="s">
        <v>18</v>
      </c>
      <c r="D30" s="5" t="s">
        <v>427</v>
      </c>
      <c r="E30" s="5" t="s">
        <v>226</v>
      </c>
      <c r="F30" s="5" t="s">
        <v>10</v>
      </c>
      <c r="G30" s="5" t="s">
        <v>430</v>
      </c>
      <c r="H30" s="5" t="s">
        <v>431</v>
      </c>
      <c r="I30" s="5" t="s">
        <v>43</v>
      </c>
      <c r="J30" s="5" t="s">
        <v>43</v>
      </c>
    </row>
    <row r="31" customFormat="false" ht="32.8" hidden="false" customHeight="false" outlineLevel="0" collapsed="false">
      <c r="A31" s="5" t="n">
        <v>30</v>
      </c>
      <c r="B31" s="5" t="s">
        <v>433</v>
      </c>
      <c r="C31" s="5" t="s">
        <v>18</v>
      </c>
      <c r="D31" s="5" t="s">
        <v>434</v>
      </c>
      <c r="E31" s="5" t="s">
        <v>226</v>
      </c>
      <c r="F31" s="5" t="s">
        <v>9</v>
      </c>
      <c r="G31" s="5" t="s">
        <v>241</v>
      </c>
      <c r="H31" s="5" t="s">
        <v>437</v>
      </c>
      <c r="I31" s="5" t="s">
        <v>438</v>
      </c>
      <c r="J31" s="5" t="s">
        <v>43</v>
      </c>
    </row>
    <row r="32" customFormat="false" ht="22.35" hidden="false" customHeight="false" outlineLevel="0" collapsed="false">
      <c r="A32" s="5" t="n">
        <v>31</v>
      </c>
      <c r="B32" s="5" t="s">
        <v>440</v>
      </c>
      <c r="C32" s="5" t="s">
        <v>18</v>
      </c>
      <c r="D32" s="5" t="s">
        <v>441</v>
      </c>
      <c r="E32" s="5" t="s">
        <v>246</v>
      </c>
      <c r="F32" s="5" t="s">
        <v>9</v>
      </c>
      <c r="G32" s="5" t="s">
        <v>241</v>
      </c>
      <c r="H32" s="5" t="s">
        <v>444</v>
      </c>
      <c r="I32" s="5" t="s">
        <v>43</v>
      </c>
      <c r="J32" s="5" t="s">
        <v>43</v>
      </c>
    </row>
    <row r="33" customFormat="false" ht="22.35" hidden="false" customHeight="false" outlineLevel="0" collapsed="false">
      <c r="A33" s="5" t="n">
        <v>32</v>
      </c>
      <c r="B33" s="5" t="s">
        <v>82</v>
      </c>
      <c r="C33" s="5" t="s">
        <v>18</v>
      </c>
      <c r="D33" s="5" t="s">
        <v>446</v>
      </c>
      <c r="E33" s="5" t="s">
        <v>226</v>
      </c>
      <c r="F33" s="5" t="s">
        <v>9</v>
      </c>
      <c r="G33" s="5" t="s">
        <v>241</v>
      </c>
      <c r="H33" s="5" t="s">
        <v>449</v>
      </c>
      <c r="I33" s="5" t="s">
        <v>450</v>
      </c>
      <c r="J33" s="5" t="s">
        <v>43</v>
      </c>
    </row>
    <row r="34" customFormat="false" ht="15" hidden="false" customHeight="false" outlineLevel="0" collapsed="false">
      <c r="A34" s="5" t="n">
        <v>33</v>
      </c>
      <c r="B34" s="5" t="s">
        <v>452</v>
      </c>
      <c r="C34" s="5" t="s">
        <v>18</v>
      </c>
      <c r="D34" s="5" t="s">
        <v>454</v>
      </c>
      <c r="E34" s="5" t="s">
        <v>226</v>
      </c>
      <c r="F34" s="5" t="s">
        <v>9</v>
      </c>
      <c r="G34" s="5" t="s">
        <v>241</v>
      </c>
      <c r="H34" s="5" t="s">
        <v>43</v>
      </c>
      <c r="I34" s="5" t="s">
        <v>43</v>
      </c>
      <c r="J34" s="5" t="s">
        <v>43</v>
      </c>
    </row>
    <row r="35" customFormat="false" ht="15" hidden="false" customHeight="false" outlineLevel="0" collapsed="false">
      <c r="A35" s="5" t="n">
        <v>34</v>
      </c>
      <c r="B35" s="5" t="s">
        <v>457</v>
      </c>
      <c r="C35" s="5" t="s">
        <v>18</v>
      </c>
      <c r="D35" s="5" t="s">
        <v>458</v>
      </c>
      <c r="E35" s="5" t="s">
        <v>226</v>
      </c>
      <c r="F35" s="5" t="s">
        <v>9</v>
      </c>
      <c r="G35" s="5" t="s">
        <v>241</v>
      </c>
      <c r="H35" s="5" t="s">
        <v>43</v>
      </c>
      <c r="I35" s="5" t="s">
        <v>43</v>
      </c>
      <c r="J35" s="5" t="s">
        <v>43</v>
      </c>
    </row>
    <row r="36" customFormat="false" ht="32.8" hidden="false" customHeight="false" outlineLevel="0" collapsed="false">
      <c r="A36" s="5" t="n">
        <v>35</v>
      </c>
      <c r="B36" s="5" t="s">
        <v>461</v>
      </c>
      <c r="C36" s="5" t="s">
        <v>18</v>
      </c>
      <c r="D36" s="5" t="s">
        <v>462</v>
      </c>
      <c r="E36" s="5" t="s">
        <v>226</v>
      </c>
      <c r="F36" s="5" t="s">
        <v>9</v>
      </c>
      <c r="G36" s="5" t="s">
        <v>241</v>
      </c>
      <c r="H36" s="5" t="s">
        <v>465</v>
      </c>
      <c r="I36" s="5" t="s">
        <v>43</v>
      </c>
      <c r="J36" s="5" t="s">
        <v>43</v>
      </c>
    </row>
    <row r="37" customFormat="false" ht="15" hidden="false" customHeight="false" outlineLevel="0" collapsed="false">
      <c r="A37" s="5" t="n">
        <v>36</v>
      </c>
      <c r="B37" s="5" t="s">
        <v>467</v>
      </c>
      <c r="C37" s="5" t="s">
        <v>18</v>
      </c>
      <c r="D37" s="5" t="s">
        <v>468</v>
      </c>
      <c r="E37" s="5" t="s">
        <v>226</v>
      </c>
      <c r="F37" s="5" t="s">
        <v>9</v>
      </c>
      <c r="G37" s="5" t="s">
        <v>241</v>
      </c>
      <c r="H37" s="5" t="s">
        <v>471</v>
      </c>
      <c r="I37" s="5" t="s">
        <v>43</v>
      </c>
      <c r="J37" s="5" t="s">
        <v>43</v>
      </c>
    </row>
    <row r="38" customFormat="false" ht="15" hidden="false" customHeight="false" outlineLevel="0" collapsed="false">
      <c r="A38" s="5" t="n">
        <v>37</v>
      </c>
      <c r="B38" s="5" t="s">
        <v>107</v>
      </c>
      <c r="C38" s="5" t="s">
        <v>18</v>
      </c>
      <c r="D38" s="5" t="s">
        <v>473</v>
      </c>
      <c r="E38" s="5" t="s">
        <v>226</v>
      </c>
      <c r="F38" s="5" t="s">
        <v>9</v>
      </c>
      <c r="G38" s="5" t="s">
        <v>241</v>
      </c>
      <c r="H38" s="5" t="s">
        <v>476</v>
      </c>
      <c r="I38" s="5" t="s">
        <v>477</v>
      </c>
      <c r="J38" s="5" t="s">
        <v>43</v>
      </c>
    </row>
    <row r="39" customFormat="false" ht="53.7" hidden="false" customHeight="false" outlineLevel="0" collapsed="false">
      <c r="A39" s="5" t="n">
        <v>38</v>
      </c>
      <c r="B39" s="5" t="s">
        <v>479</v>
      </c>
      <c r="C39" s="5" t="s">
        <v>18</v>
      </c>
      <c r="D39" s="5" t="s">
        <v>480</v>
      </c>
      <c r="E39" s="5" t="s">
        <v>226</v>
      </c>
      <c r="F39" s="5" t="s">
        <v>9</v>
      </c>
      <c r="G39" s="5" t="s">
        <v>241</v>
      </c>
      <c r="H39" s="5" t="s">
        <v>483</v>
      </c>
      <c r="I39" s="5" t="s">
        <v>43</v>
      </c>
      <c r="J39" s="5" t="s">
        <v>43</v>
      </c>
    </row>
    <row r="40" customFormat="false" ht="32.8" hidden="false" customHeight="false" outlineLevel="0" collapsed="false">
      <c r="A40" s="5" t="n">
        <v>39</v>
      </c>
      <c r="B40" s="5" t="s">
        <v>118</v>
      </c>
      <c r="C40" s="5" t="s">
        <v>18</v>
      </c>
      <c r="D40" s="5" t="s">
        <v>485</v>
      </c>
      <c r="E40" s="5" t="s">
        <v>226</v>
      </c>
      <c r="F40" s="5" t="s">
        <v>9</v>
      </c>
      <c r="G40" s="5" t="s">
        <v>241</v>
      </c>
      <c r="H40" s="5" t="s">
        <v>488</v>
      </c>
      <c r="I40" s="5" t="s">
        <v>489</v>
      </c>
      <c r="J40" s="5" t="s">
        <v>43</v>
      </c>
    </row>
    <row r="41" customFormat="false" ht="15" hidden="false" customHeight="false" outlineLevel="0" collapsed="false">
      <c r="A41" s="5" t="n">
        <v>40</v>
      </c>
      <c r="B41" s="5" t="s">
        <v>491</v>
      </c>
      <c r="C41" s="5" t="s">
        <v>18</v>
      </c>
      <c r="D41" s="5" t="s">
        <v>492</v>
      </c>
      <c r="E41" s="5" t="s">
        <v>246</v>
      </c>
      <c r="F41" s="5" t="s">
        <v>9</v>
      </c>
      <c r="G41" s="5" t="s">
        <v>241</v>
      </c>
      <c r="H41" s="5" t="s">
        <v>495</v>
      </c>
      <c r="I41" s="5" t="s">
        <v>496</v>
      </c>
      <c r="J41" s="5" t="s">
        <v>43</v>
      </c>
    </row>
    <row r="42" customFormat="false" ht="15" hidden="false" customHeight="false" outlineLevel="0" collapsed="false">
      <c r="A42" s="5" t="n">
        <v>41</v>
      </c>
      <c r="B42" s="5" t="s">
        <v>498</v>
      </c>
      <c r="C42" s="5" t="s">
        <v>18</v>
      </c>
      <c r="D42" s="5" t="s">
        <v>499</v>
      </c>
      <c r="E42" s="5" t="s">
        <v>226</v>
      </c>
      <c r="F42" s="5" t="s">
        <v>9</v>
      </c>
      <c r="G42" s="5" t="s">
        <v>241</v>
      </c>
      <c r="H42" s="5" t="s">
        <v>502</v>
      </c>
      <c r="I42" s="5" t="s">
        <v>43</v>
      </c>
      <c r="J42" s="5" t="s">
        <v>43</v>
      </c>
    </row>
    <row r="43" customFormat="false" ht="15" hidden="false" customHeight="false" outlineLevel="0" collapsed="false">
      <c r="A43" s="5" t="n">
        <v>42</v>
      </c>
      <c r="B43" s="5" t="s">
        <v>129</v>
      </c>
      <c r="C43" s="5" t="s">
        <v>18</v>
      </c>
      <c r="D43" s="5" t="s">
        <v>128</v>
      </c>
      <c r="E43" s="5" t="s">
        <v>246</v>
      </c>
      <c r="F43" s="5" t="s">
        <v>9</v>
      </c>
      <c r="G43" s="5" t="s">
        <v>241</v>
      </c>
      <c r="H43" s="5" t="s">
        <v>506</v>
      </c>
      <c r="I43" s="5" t="s">
        <v>43</v>
      </c>
      <c r="J43" s="5" t="s">
        <v>43</v>
      </c>
    </row>
    <row r="44" customFormat="false" ht="32.8" hidden="false" customHeight="false" outlineLevel="0" collapsed="false">
      <c r="A44" s="5" t="n">
        <v>43</v>
      </c>
      <c r="B44" s="5" t="s">
        <v>126</v>
      </c>
      <c r="C44" s="5" t="s">
        <v>18</v>
      </c>
      <c r="D44" s="5" t="s">
        <v>125</v>
      </c>
      <c r="E44" s="5" t="s">
        <v>246</v>
      </c>
      <c r="F44" s="5" t="s">
        <v>9</v>
      </c>
      <c r="G44" s="5" t="s">
        <v>241</v>
      </c>
      <c r="H44" s="5" t="s">
        <v>509</v>
      </c>
      <c r="I44" s="5" t="s">
        <v>43</v>
      </c>
      <c r="J44" s="5" t="s">
        <v>43</v>
      </c>
    </row>
    <row r="45" customFormat="false" ht="15" hidden="false" customHeight="false" outlineLevel="0" collapsed="false">
      <c r="A45" s="5" t="n">
        <v>44</v>
      </c>
      <c r="B45" s="5" t="s">
        <v>511</v>
      </c>
      <c r="C45" s="5" t="s">
        <v>18</v>
      </c>
      <c r="D45" s="5" t="s">
        <v>513</v>
      </c>
      <c r="E45" s="5" t="s">
        <v>226</v>
      </c>
      <c r="F45" s="5" t="s">
        <v>9</v>
      </c>
      <c r="G45" s="5" t="s">
        <v>241</v>
      </c>
      <c r="H45" s="5" t="s">
        <v>43</v>
      </c>
      <c r="I45" s="5" t="s">
        <v>43</v>
      </c>
      <c r="J45" s="5" t="s">
        <v>43</v>
      </c>
    </row>
    <row r="46" customFormat="false" ht="15" hidden="false" customHeight="false" outlineLevel="0" collapsed="false">
      <c r="A46" s="5" t="n">
        <v>45</v>
      </c>
      <c r="B46" s="5" t="s">
        <v>516</v>
      </c>
      <c r="C46" s="5" t="s">
        <v>18</v>
      </c>
      <c r="D46" s="5" t="s">
        <v>517</v>
      </c>
      <c r="E46" s="5" t="s">
        <v>246</v>
      </c>
      <c r="F46" s="5" t="s">
        <v>9</v>
      </c>
      <c r="G46" s="5" t="s">
        <v>241</v>
      </c>
      <c r="H46" s="5" t="s">
        <v>520</v>
      </c>
      <c r="I46" s="5" t="s">
        <v>43</v>
      </c>
      <c r="J46" s="5" t="s">
        <v>43</v>
      </c>
    </row>
    <row r="47" customFormat="false" ht="15" hidden="false" customHeight="false" outlineLevel="0" collapsed="false">
      <c r="A47" s="5" t="n">
        <v>46</v>
      </c>
      <c r="B47" s="5" t="s">
        <v>160</v>
      </c>
      <c r="C47" s="5" t="s">
        <v>18</v>
      </c>
      <c r="D47" s="5" t="s">
        <v>522</v>
      </c>
      <c r="E47" s="5" t="s">
        <v>226</v>
      </c>
      <c r="F47" s="5" t="s">
        <v>9</v>
      </c>
      <c r="G47" s="5" t="s">
        <v>241</v>
      </c>
      <c r="H47" s="5" t="s">
        <v>43</v>
      </c>
      <c r="I47" s="5" t="s">
        <v>43</v>
      </c>
      <c r="J47" s="5" t="s">
        <v>43</v>
      </c>
    </row>
    <row r="48" customFormat="false" ht="15" hidden="false" customHeight="false" outlineLevel="0" collapsed="false">
      <c r="A48" s="5" t="n">
        <v>47</v>
      </c>
      <c r="B48" s="5" t="s">
        <v>154</v>
      </c>
      <c r="C48" s="5" t="s">
        <v>18</v>
      </c>
      <c r="D48" s="5" t="s">
        <v>525</v>
      </c>
      <c r="E48" s="5" t="s">
        <v>226</v>
      </c>
      <c r="F48" s="5" t="s">
        <v>9</v>
      </c>
      <c r="G48" s="5" t="s">
        <v>241</v>
      </c>
      <c r="H48" s="5" t="s">
        <v>43</v>
      </c>
      <c r="I48" s="5" t="s">
        <v>43</v>
      </c>
      <c r="J48" s="5" t="s">
        <v>43</v>
      </c>
    </row>
    <row r="49" customFormat="false" ht="22.35" hidden="false" customHeight="false" outlineLevel="0" collapsed="false">
      <c r="A49" s="5" t="n">
        <v>48</v>
      </c>
      <c r="B49" s="5" t="s">
        <v>528</v>
      </c>
      <c r="C49" s="5" t="s">
        <v>18</v>
      </c>
      <c r="D49" s="5" t="s">
        <v>530</v>
      </c>
      <c r="E49" s="5" t="s">
        <v>246</v>
      </c>
      <c r="F49" s="5" t="s">
        <v>9</v>
      </c>
      <c r="G49" s="5" t="s">
        <v>241</v>
      </c>
      <c r="H49" s="5" t="s">
        <v>533</v>
      </c>
      <c r="I49" s="5" t="s">
        <v>43</v>
      </c>
      <c r="J49" s="5" t="s">
        <v>43</v>
      </c>
    </row>
    <row r="50" customFormat="false" ht="15" hidden="false" customHeight="false" outlineLevel="0" collapsed="false">
      <c r="A50" s="5" t="n">
        <v>49</v>
      </c>
      <c r="B50" s="5" t="s">
        <v>535</v>
      </c>
      <c r="C50" s="5" t="s">
        <v>18</v>
      </c>
      <c r="D50" s="5" t="s">
        <v>536</v>
      </c>
      <c r="E50" s="5" t="s">
        <v>246</v>
      </c>
      <c r="F50" s="5" t="s">
        <v>9</v>
      </c>
      <c r="G50" s="5" t="s">
        <v>241</v>
      </c>
      <c r="H50" s="5" t="s">
        <v>539</v>
      </c>
      <c r="I50" s="5" t="s">
        <v>43</v>
      </c>
      <c r="J50" s="5" t="s">
        <v>43</v>
      </c>
    </row>
    <row r="51" customFormat="false" ht="53.7" hidden="false" customHeight="false" outlineLevel="0" collapsed="false">
      <c r="A51" s="5" t="n">
        <v>50</v>
      </c>
      <c r="B51" s="5" t="s">
        <v>541</v>
      </c>
      <c r="C51" s="5" t="s">
        <v>18</v>
      </c>
      <c r="D51" s="5" t="s">
        <v>542</v>
      </c>
      <c r="E51" s="5" t="s">
        <v>246</v>
      </c>
      <c r="F51" s="5" t="s">
        <v>10</v>
      </c>
      <c r="G51" s="5" t="s">
        <v>545</v>
      </c>
      <c r="H51" s="5" t="s">
        <v>546</v>
      </c>
      <c r="I51" s="5" t="s">
        <v>43</v>
      </c>
      <c r="J51" s="5" t="s">
        <v>43</v>
      </c>
    </row>
    <row r="52" customFormat="false" ht="43.25" hidden="false" customHeight="false" outlineLevel="0" collapsed="false">
      <c r="A52" s="5" t="n">
        <v>51</v>
      </c>
      <c r="B52" s="5" t="s">
        <v>548</v>
      </c>
      <c r="C52" s="5" t="s">
        <v>18</v>
      </c>
      <c r="D52" s="5" t="s">
        <v>550</v>
      </c>
      <c r="E52" s="5" t="s">
        <v>226</v>
      </c>
      <c r="F52" s="5" t="s">
        <v>9</v>
      </c>
      <c r="G52" s="5" t="s">
        <v>241</v>
      </c>
      <c r="H52" s="5" t="s">
        <v>553</v>
      </c>
      <c r="I52" s="5" t="s">
        <v>554</v>
      </c>
      <c r="J52" s="5" t="s">
        <v>43</v>
      </c>
    </row>
    <row r="53" customFormat="false" ht="15" hidden="false" customHeight="false" outlineLevel="0" collapsed="false">
      <c r="A53" s="5" t="n">
        <v>52</v>
      </c>
      <c r="B53" s="5" t="s">
        <v>556</v>
      </c>
      <c r="C53" s="5" t="s">
        <v>18</v>
      </c>
      <c r="D53" s="5" t="s">
        <v>558</v>
      </c>
      <c r="E53" s="5" t="s">
        <v>226</v>
      </c>
      <c r="F53" s="5" t="s">
        <v>9</v>
      </c>
      <c r="G53" s="5" t="s">
        <v>241</v>
      </c>
      <c r="H53" s="5" t="s">
        <v>561</v>
      </c>
      <c r="I53" s="5" t="s">
        <v>43</v>
      </c>
      <c r="J53" s="5" t="s">
        <v>43</v>
      </c>
    </row>
    <row r="54" customFormat="false" ht="74.6" hidden="false" customHeight="false" outlineLevel="0" collapsed="false">
      <c r="A54" s="5" t="n">
        <v>53</v>
      </c>
      <c r="B54" s="5" t="s">
        <v>563</v>
      </c>
      <c r="C54" s="5" t="s">
        <v>18</v>
      </c>
      <c r="D54" s="5" t="s">
        <v>564</v>
      </c>
      <c r="E54" s="5" t="s">
        <v>226</v>
      </c>
      <c r="F54" s="5" t="s">
        <v>9</v>
      </c>
      <c r="G54" s="5" t="s">
        <v>241</v>
      </c>
      <c r="H54" s="5" t="s">
        <v>567</v>
      </c>
      <c r="I54" s="5" t="s">
        <v>568</v>
      </c>
      <c r="J54" s="5" t="s">
        <v>43</v>
      </c>
    </row>
    <row r="55" customFormat="false" ht="74.6" hidden="false" customHeight="false" outlineLevel="0" collapsed="false">
      <c r="A55" s="5" t="n">
        <v>54</v>
      </c>
      <c r="B55" s="5" t="s">
        <v>570</v>
      </c>
      <c r="C55" s="5" t="s">
        <v>18</v>
      </c>
      <c r="D55" s="5" t="s">
        <v>571</v>
      </c>
      <c r="E55" s="5" t="s">
        <v>226</v>
      </c>
      <c r="F55" s="5" t="s">
        <v>9</v>
      </c>
      <c r="G55" s="5" t="s">
        <v>241</v>
      </c>
      <c r="H55" s="5" t="s">
        <v>574</v>
      </c>
      <c r="I55" s="5" t="s">
        <v>575</v>
      </c>
      <c r="J55" s="5" t="s">
        <v>43</v>
      </c>
    </row>
    <row r="56" customFormat="false" ht="15" hidden="false" customHeight="false" outlineLevel="0" collapsed="false">
      <c r="A56" s="5" t="n">
        <v>55</v>
      </c>
      <c r="B56" s="5" t="s">
        <v>577</v>
      </c>
      <c r="C56" s="5" t="s">
        <v>18</v>
      </c>
      <c r="D56" s="5" t="s">
        <v>579</v>
      </c>
      <c r="E56" s="5" t="s">
        <v>246</v>
      </c>
      <c r="F56" s="5" t="s">
        <v>9</v>
      </c>
      <c r="G56" s="5" t="s">
        <v>241</v>
      </c>
      <c r="H56" s="5" t="s">
        <v>582</v>
      </c>
      <c r="I56" s="5" t="s">
        <v>43</v>
      </c>
      <c r="J56" s="5" t="s">
        <v>43</v>
      </c>
    </row>
    <row r="57" customFormat="false" ht="15" hidden="false" customHeight="false" outlineLevel="0" collapsed="false">
      <c r="A57" s="5" t="n">
        <v>56</v>
      </c>
      <c r="B57" s="5" t="s">
        <v>584</v>
      </c>
      <c r="C57" s="5" t="s">
        <v>18</v>
      </c>
      <c r="D57" s="5" t="s">
        <v>585</v>
      </c>
      <c r="E57" s="5" t="s">
        <v>246</v>
      </c>
      <c r="F57" s="5" t="s">
        <v>9</v>
      </c>
      <c r="G57" s="5" t="s">
        <v>241</v>
      </c>
      <c r="H57" s="5" t="s">
        <v>588</v>
      </c>
      <c r="I57" s="5" t="s">
        <v>43</v>
      </c>
      <c r="J57" s="5" t="s">
        <v>43</v>
      </c>
    </row>
    <row r="58" customFormat="false" ht="15" hidden="false" customHeight="false" outlineLevel="0" collapsed="false">
      <c r="A58" s="5" t="n">
        <v>57</v>
      </c>
      <c r="B58" s="5" t="s">
        <v>589</v>
      </c>
      <c r="C58" s="5" t="s">
        <v>18</v>
      </c>
      <c r="D58" s="5" t="s">
        <v>591</v>
      </c>
      <c r="E58" s="5" t="s">
        <v>226</v>
      </c>
      <c r="F58" s="5" t="s">
        <v>9</v>
      </c>
      <c r="G58" s="5" t="s">
        <v>241</v>
      </c>
      <c r="H58" s="5" t="s">
        <v>594</v>
      </c>
      <c r="I58" s="5" t="s">
        <v>43</v>
      </c>
      <c r="J58" s="5" t="s">
        <v>43</v>
      </c>
    </row>
    <row r="59" customFormat="false" ht="15" hidden="false" customHeight="false" outlineLevel="0" collapsed="false">
      <c r="A59" s="5" t="n">
        <v>58</v>
      </c>
      <c r="B59" s="5" t="s">
        <v>596</v>
      </c>
      <c r="C59" s="5" t="s">
        <v>18</v>
      </c>
      <c r="D59" s="5" t="s">
        <v>597</v>
      </c>
      <c r="E59" s="5" t="s">
        <v>226</v>
      </c>
      <c r="F59" s="5" t="s">
        <v>9</v>
      </c>
      <c r="G59" s="5" t="s">
        <v>241</v>
      </c>
      <c r="H59" s="5" t="s">
        <v>600</v>
      </c>
      <c r="I59" s="5" t="s">
        <v>43</v>
      </c>
      <c r="J59" s="5" t="s">
        <v>43</v>
      </c>
    </row>
    <row r="60" customFormat="false" ht="74.6" hidden="false" customHeight="false" outlineLevel="0" collapsed="false">
      <c r="A60" s="5" t="n">
        <v>59</v>
      </c>
      <c r="B60" s="5" t="s">
        <v>602</v>
      </c>
      <c r="C60" s="5" t="s">
        <v>18</v>
      </c>
      <c r="D60" s="5" t="s">
        <v>603</v>
      </c>
      <c r="E60" s="5" t="s">
        <v>226</v>
      </c>
      <c r="F60" s="5" t="s">
        <v>9</v>
      </c>
      <c r="G60" s="5" t="s">
        <v>241</v>
      </c>
      <c r="H60" s="5" t="s">
        <v>606</v>
      </c>
      <c r="I60" s="5" t="s">
        <v>43</v>
      </c>
      <c r="J60" s="5" t="s">
        <v>43</v>
      </c>
    </row>
    <row r="61" customFormat="false" ht="22.35" hidden="false" customHeight="false" outlineLevel="0" collapsed="false">
      <c r="A61" s="5" t="n">
        <v>60</v>
      </c>
      <c r="B61" s="5" t="s">
        <v>608</v>
      </c>
      <c r="C61" s="5" t="s">
        <v>18</v>
      </c>
      <c r="D61" s="5" t="s">
        <v>609</v>
      </c>
      <c r="E61" s="5" t="s">
        <v>226</v>
      </c>
      <c r="F61" s="5" t="s">
        <v>9</v>
      </c>
      <c r="G61" s="5" t="s">
        <v>241</v>
      </c>
      <c r="H61" s="5" t="s">
        <v>612</v>
      </c>
      <c r="I61" s="5" t="s">
        <v>613</v>
      </c>
      <c r="J61" s="5" t="s">
        <v>43</v>
      </c>
    </row>
    <row r="62" customFormat="false" ht="32.8" hidden="false" customHeight="false" outlineLevel="0" collapsed="false">
      <c r="A62" s="5" t="n">
        <v>61</v>
      </c>
      <c r="B62" s="5" t="s">
        <v>615</v>
      </c>
      <c r="C62" s="5" t="s">
        <v>18</v>
      </c>
      <c r="D62" s="5" t="s">
        <v>617</v>
      </c>
      <c r="E62" s="5" t="s">
        <v>226</v>
      </c>
      <c r="F62" s="5" t="s">
        <v>9</v>
      </c>
      <c r="G62" s="5" t="s">
        <v>241</v>
      </c>
      <c r="H62" s="5" t="s">
        <v>620</v>
      </c>
      <c r="I62" s="5" t="s">
        <v>43</v>
      </c>
      <c r="J62" s="5" t="s">
        <v>43</v>
      </c>
    </row>
    <row r="63" customFormat="false" ht="64.15" hidden="false" customHeight="false" outlineLevel="0" collapsed="false">
      <c r="A63" s="5" t="n">
        <v>62</v>
      </c>
      <c r="B63" s="5" t="s">
        <v>622</v>
      </c>
      <c r="C63" s="5" t="s">
        <v>18</v>
      </c>
      <c r="D63" s="5" t="s">
        <v>623</v>
      </c>
      <c r="E63" s="5" t="s">
        <v>226</v>
      </c>
      <c r="F63" s="5" t="s">
        <v>9</v>
      </c>
      <c r="G63" s="5" t="s">
        <v>241</v>
      </c>
      <c r="H63" s="5" t="s">
        <v>626</v>
      </c>
      <c r="I63" s="5" t="s">
        <v>43</v>
      </c>
      <c r="J63" s="5" t="s">
        <v>43</v>
      </c>
    </row>
    <row r="64" customFormat="false" ht="15" hidden="false" customHeight="false" outlineLevel="0" collapsed="false">
      <c r="A64" s="5" t="n">
        <v>63</v>
      </c>
      <c r="B64" s="5" t="s">
        <v>628</v>
      </c>
      <c r="C64" s="5" t="s">
        <v>18</v>
      </c>
      <c r="D64" s="5" t="s">
        <v>629</v>
      </c>
      <c r="E64" s="5" t="s">
        <v>226</v>
      </c>
      <c r="F64" s="5" t="s">
        <v>9</v>
      </c>
      <c r="G64" s="5" t="s">
        <v>241</v>
      </c>
      <c r="H64" s="5" t="s">
        <v>632</v>
      </c>
      <c r="I64" s="5" t="s">
        <v>633</v>
      </c>
      <c r="J64" s="5" t="s">
        <v>43</v>
      </c>
    </row>
    <row r="65" customFormat="false" ht="22.35" hidden="false" customHeight="false" outlineLevel="0" collapsed="false">
      <c r="A65" s="5" t="n">
        <v>64</v>
      </c>
      <c r="B65" s="5" t="s">
        <v>635</v>
      </c>
      <c r="C65" s="5" t="s">
        <v>18</v>
      </c>
      <c r="D65" s="5" t="s">
        <v>636</v>
      </c>
      <c r="E65" s="5" t="s">
        <v>246</v>
      </c>
      <c r="F65" s="5" t="s">
        <v>9</v>
      </c>
      <c r="G65" s="5" t="s">
        <v>241</v>
      </c>
      <c r="H65" s="5" t="s">
        <v>639</v>
      </c>
      <c r="I65" s="5" t="s">
        <v>43</v>
      </c>
      <c r="J65" s="5" t="s">
        <v>43</v>
      </c>
    </row>
    <row r="66" customFormat="false" ht="15" hidden="false" customHeight="false" outlineLevel="0" collapsed="false">
      <c r="A66" s="5" t="n">
        <v>65</v>
      </c>
      <c r="B66" s="5" t="s">
        <v>204</v>
      </c>
      <c r="C66" s="5" t="s">
        <v>18</v>
      </c>
      <c r="D66" s="5" t="s">
        <v>641</v>
      </c>
      <c r="E66" s="5" t="s">
        <v>226</v>
      </c>
      <c r="F66" s="5" t="s">
        <v>9</v>
      </c>
      <c r="G66" s="5" t="s">
        <v>241</v>
      </c>
      <c r="H66" s="5" t="s">
        <v>644</v>
      </c>
      <c r="I66" s="5" t="s">
        <v>43</v>
      </c>
      <c r="J66" s="5" t="s">
        <v>43</v>
      </c>
    </row>
    <row r="67" customFormat="false" ht="22.35" hidden="false" customHeight="false" outlineLevel="0" collapsed="false">
      <c r="A67" s="5" t="n">
        <v>66</v>
      </c>
      <c r="B67" s="5" t="s">
        <v>198</v>
      </c>
      <c r="C67" s="5" t="s">
        <v>18</v>
      </c>
      <c r="D67" s="5" t="s">
        <v>647</v>
      </c>
      <c r="E67" s="5" t="s">
        <v>226</v>
      </c>
      <c r="F67" s="5" t="s">
        <v>9</v>
      </c>
      <c r="G67" s="5" t="s">
        <v>241</v>
      </c>
      <c r="H67" s="5" t="s">
        <v>650</v>
      </c>
      <c r="I67" s="5" t="s">
        <v>43</v>
      </c>
      <c r="J67" s="5" t="s">
        <v>43</v>
      </c>
    </row>
    <row r="68" customFormat="false" ht="15" hidden="false" customHeight="false" outlineLevel="0" collapsed="false">
      <c r="A68" s="5" t="n">
        <v>67</v>
      </c>
      <c r="B68" s="5" t="s">
        <v>652</v>
      </c>
      <c r="C68" s="5" t="s">
        <v>18</v>
      </c>
      <c r="D68" s="5" t="s">
        <v>653</v>
      </c>
      <c r="E68" s="5" t="s">
        <v>226</v>
      </c>
      <c r="F68" s="5" t="s">
        <v>9</v>
      </c>
      <c r="G68" s="5" t="s">
        <v>241</v>
      </c>
      <c r="H68" s="5" t="s">
        <v>43</v>
      </c>
      <c r="I68" s="5" t="s">
        <v>43</v>
      </c>
      <c r="J68" s="5" t="s">
        <v>43</v>
      </c>
    </row>
    <row r="69" customFormat="false" ht="43.25" hidden="false" customHeight="false" outlineLevel="0" collapsed="false">
      <c r="A69" s="5" t="n">
        <v>68</v>
      </c>
      <c r="B69" s="5" t="s">
        <v>111</v>
      </c>
      <c r="C69" s="5" t="s">
        <v>18</v>
      </c>
      <c r="D69" s="5" t="s">
        <v>656</v>
      </c>
      <c r="E69" s="5" t="s">
        <v>226</v>
      </c>
      <c r="F69" s="5" t="s">
        <v>10</v>
      </c>
      <c r="G69" s="5" t="s">
        <v>659</v>
      </c>
      <c r="H69" s="5" t="s">
        <v>660</v>
      </c>
      <c r="I69" s="5" t="s">
        <v>661</v>
      </c>
      <c r="J69" s="5" t="s">
        <v>43</v>
      </c>
    </row>
    <row r="70" customFormat="false" ht="15" hidden="false" customHeight="false" outlineLevel="0" collapsed="false">
      <c r="A70" s="5" t="n">
        <v>69</v>
      </c>
      <c r="B70" s="5" t="s">
        <v>687</v>
      </c>
      <c r="C70" s="5" t="s">
        <v>19</v>
      </c>
      <c r="D70" s="5" t="s">
        <v>689</v>
      </c>
      <c r="E70" s="5" t="s">
        <v>681</v>
      </c>
      <c r="F70" s="5" t="s">
        <v>9</v>
      </c>
      <c r="G70" s="5" t="s">
        <v>241</v>
      </c>
      <c r="H70" s="5" t="s">
        <v>692</v>
      </c>
      <c r="I70" s="5" t="s">
        <v>43</v>
      </c>
      <c r="J70" s="5" t="s">
        <v>43</v>
      </c>
    </row>
    <row r="71" customFormat="false" ht="22.35" hidden="false" customHeight="false" outlineLevel="0" collapsed="false">
      <c r="A71" s="5" t="n">
        <v>70</v>
      </c>
      <c r="B71" s="5" t="s">
        <v>693</v>
      </c>
      <c r="C71" s="5" t="s">
        <v>19</v>
      </c>
      <c r="D71" s="5" t="s">
        <v>87</v>
      </c>
      <c r="E71" s="5" t="s">
        <v>681</v>
      </c>
      <c r="F71" s="5" t="s">
        <v>9</v>
      </c>
      <c r="G71" s="5" t="s">
        <v>241</v>
      </c>
      <c r="H71" s="5" t="s">
        <v>697</v>
      </c>
      <c r="I71" s="5" t="s">
        <v>698</v>
      </c>
      <c r="J71" s="5" t="s">
        <v>43</v>
      </c>
    </row>
    <row r="72" customFormat="false" ht="22.35" hidden="false" customHeight="false" outlineLevel="0" collapsed="false">
      <c r="A72" s="5" t="n">
        <v>71</v>
      </c>
      <c r="B72" s="5" t="s">
        <v>699</v>
      </c>
      <c r="C72" s="5" t="s">
        <v>19</v>
      </c>
      <c r="D72" s="5" t="s">
        <v>701</v>
      </c>
      <c r="E72" s="5" t="s">
        <v>681</v>
      </c>
      <c r="F72" s="5" t="s">
        <v>9</v>
      </c>
      <c r="G72" s="5" t="s">
        <v>241</v>
      </c>
      <c r="H72" s="5" t="s">
        <v>704</v>
      </c>
      <c r="I72" s="5" t="s">
        <v>43</v>
      </c>
      <c r="J72" s="5" t="s">
        <v>43</v>
      </c>
    </row>
    <row r="73" customFormat="false" ht="32.8" hidden="false" customHeight="false" outlineLevel="0" collapsed="false">
      <c r="A73" s="5" t="n">
        <v>72</v>
      </c>
      <c r="B73" s="5" t="s">
        <v>706</v>
      </c>
      <c r="C73" s="5" t="s">
        <v>19</v>
      </c>
      <c r="D73" s="5" t="s">
        <v>453</v>
      </c>
      <c r="E73" s="5" t="s">
        <v>681</v>
      </c>
      <c r="F73" s="5" t="s">
        <v>9</v>
      </c>
      <c r="G73" s="5" t="s">
        <v>241</v>
      </c>
      <c r="H73" s="5" t="s">
        <v>710</v>
      </c>
      <c r="I73" s="5" t="s">
        <v>711</v>
      </c>
      <c r="J73" s="5" t="s">
        <v>43</v>
      </c>
    </row>
    <row r="74" customFormat="false" ht="15" hidden="false" customHeight="false" outlineLevel="0" collapsed="false">
      <c r="A74" s="5" t="n">
        <v>73</v>
      </c>
      <c r="B74" s="5" t="s">
        <v>158</v>
      </c>
      <c r="C74" s="5" t="s">
        <v>19</v>
      </c>
      <c r="D74" s="5" t="s">
        <v>512</v>
      </c>
      <c r="E74" s="5" t="s">
        <v>681</v>
      </c>
      <c r="F74" s="5" t="s">
        <v>9</v>
      </c>
      <c r="G74" s="5" t="s">
        <v>241</v>
      </c>
      <c r="H74" s="5" t="s">
        <v>716</v>
      </c>
      <c r="I74" s="5" t="s">
        <v>43</v>
      </c>
      <c r="J74" s="5" t="s">
        <v>43</v>
      </c>
    </row>
    <row r="75" customFormat="false" ht="22.35" hidden="false" customHeight="false" outlineLevel="0" collapsed="false">
      <c r="A75" s="5" t="n">
        <v>74</v>
      </c>
      <c r="B75" s="5" t="s">
        <v>717</v>
      </c>
      <c r="C75" s="5" t="s">
        <v>19</v>
      </c>
      <c r="D75" s="5" t="s">
        <v>719</v>
      </c>
      <c r="E75" s="5" t="s">
        <v>681</v>
      </c>
      <c r="F75" s="5" t="s">
        <v>9</v>
      </c>
      <c r="G75" s="5" t="s">
        <v>241</v>
      </c>
      <c r="H75" s="5" t="s">
        <v>722</v>
      </c>
      <c r="I75" s="5" t="s">
        <v>723</v>
      </c>
      <c r="J75" s="5" t="s">
        <v>43</v>
      </c>
    </row>
    <row r="76" customFormat="false" ht="43.25" hidden="false" customHeight="false" outlineLevel="0" collapsed="false">
      <c r="A76" s="5" t="n">
        <v>75</v>
      </c>
      <c r="B76" s="5" t="s">
        <v>725</v>
      </c>
      <c r="C76" s="5" t="s">
        <v>19</v>
      </c>
      <c r="D76" s="5" t="s">
        <v>727</v>
      </c>
      <c r="E76" s="5" t="s">
        <v>681</v>
      </c>
      <c r="F76" s="5" t="s">
        <v>10</v>
      </c>
      <c r="G76" s="5" t="s">
        <v>241</v>
      </c>
      <c r="H76" s="5" t="s">
        <v>730</v>
      </c>
      <c r="I76" s="5" t="s">
        <v>731</v>
      </c>
      <c r="J76" s="5" t="s">
        <v>43</v>
      </c>
    </row>
    <row r="77" customFormat="false" ht="22.35" hidden="false" customHeight="false" outlineLevel="0" collapsed="false">
      <c r="A77" s="5" t="n">
        <v>76</v>
      </c>
      <c r="B77" s="5" t="s">
        <v>733</v>
      </c>
      <c r="C77" s="5" t="s">
        <v>19</v>
      </c>
      <c r="D77" s="5" t="s">
        <v>734</v>
      </c>
      <c r="E77" s="5" t="s">
        <v>681</v>
      </c>
      <c r="F77" s="5" t="s">
        <v>9</v>
      </c>
      <c r="G77" s="5" t="s">
        <v>241</v>
      </c>
      <c r="H77" s="5" t="s">
        <v>737</v>
      </c>
      <c r="I77" s="5" t="s">
        <v>43</v>
      </c>
      <c r="J77" s="5" t="s">
        <v>43</v>
      </c>
    </row>
    <row r="78" customFormat="false" ht="22.35" hidden="false" customHeight="false" outlineLevel="0" collapsed="false">
      <c r="A78" s="5" t="n">
        <v>77</v>
      </c>
      <c r="B78" s="5" t="s">
        <v>739</v>
      </c>
      <c r="C78" s="5" t="s">
        <v>19</v>
      </c>
      <c r="D78" s="5" t="s">
        <v>741</v>
      </c>
      <c r="E78" s="5" t="s">
        <v>681</v>
      </c>
      <c r="F78" s="5" t="s">
        <v>9</v>
      </c>
      <c r="G78" s="5" t="s">
        <v>241</v>
      </c>
      <c r="H78" s="5" t="s">
        <v>744</v>
      </c>
      <c r="I78" s="5" t="s">
        <v>43</v>
      </c>
      <c r="J78" s="5" t="s">
        <v>43</v>
      </c>
    </row>
    <row r="79" customFormat="false" ht="15" hidden="false" customHeight="false" outlineLevel="0" collapsed="false">
      <c r="A79" s="5" t="n">
        <v>78</v>
      </c>
      <c r="B79" s="5" t="s">
        <v>746</v>
      </c>
      <c r="C79" s="5" t="s">
        <v>20</v>
      </c>
      <c r="D79" s="5" t="s">
        <v>747</v>
      </c>
      <c r="E79" s="5" t="s">
        <v>681</v>
      </c>
      <c r="F79" s="5" t="s">
        <v>9</v>
      </c>
      <c r="G79" s="5" t="s">
        <v>241</v>
      </c>
      <c r="H79" s="5" t="s">
        <v>43</v>
      </c>
      <c r="I79" s="5" t="s">
        <v>43</v>
      </c>
      <c r="J79" s="5" t="s">
        <v>43</v>
      </c>
    </row>
    <row r="80" customFormat="false" ht="22.35" hidden="false" customHeight="false" outlineLevel="0" collapsed="false">
      <c r="A80" s="5" t="n">
        <v>79</v>
      </c>
      <c r="B80" s="5" t="s">
        <v>749</v>
      </c>
      <c r="C80" s="5" t="s">
        <v>20</v>
      </c>
      <c r="D80" s="5" t="s">
        <v>750</v>
      </c>
      <c r="E80" s="5" t="s">
        <v>681</v>
      </c>
      <c r="F80" s="5" t="s">
        <v>9</v>
      </c>
      <c r="G80" s="5" t="s">
        <v>241</v>
      </c>
      <c r="H80" s="5" t="s">
        <v>752</v>
      </c>
      <c r="I80" s="5" t="s">
        <v>43</v>
      </c>
      <c r="J80" s="5" t="s">
        <v>43</v>
      </c>
    </row>
    <row r="81" customFormat="false" ht="15" hidden="false" customHeight="false" outlineLevel="0" collapsed="false">
      <c r="A81" s="5" t="n">
        <v>80</v>
      </c>
      <c r="B81" s="5" t="s">
        <v>762</v>
      </c>
      <c r="C81" s="5" t="s">
        <v>20</v>
      </c>
      <c r="D81" s="5" t="s">
        <v>763</v>
      </c>
      <c r="E81" s="5" t="s">
        <v>681</v>
      </c>
      <c r="F81" s="5" t="s">
        <v>9</v>
      </c>
      <c r="G81" s="5" t="s">
        <v>241</v>
      </c>
      <c r="H81" s="5" t="s">
        <v>43</v>
      </c>
      <c r="I81" s="5" t="s">
        <v>43</v>
      </c>
      <c r="J81" s="5" t="s">
        <v>43</v>
      </c>
    </row>
    <row r="82" customFormat="false" ht="15" hidden="false" customHeight="false" outlineLevel="0" collapsed="false">
      <c r="A82" s="5" t="n">
        <v>81</v>
      </c>
      <c r="B82" s="5" t="s">
        <v>765</v>
      </c>
      <c r="C82" s="5" t="s">
        <v>20</v>
      </c>
      <c r="D82" s="5" t="s">
        <v>766</v>
      </c>
      <c r="E82" s="5" t="s">
        <v>681</v>
      </c>
      <c r="F82" s="5" t="s">
        <v>9</v>
      </c>
      <c r="G82" s="5" t="s">
        <v>241</v>
      </c>
      <c r="H82" s="5" t="s">
        <v>43</v>
      </c>
      <c r="I82" s="5" t="s">
        <v>43</v>
      </c>
      <c r="J82" s="5" t="s">
        <v>43</v>
      </c>
    </row>
    <row r="83" customFormat="false" ht="15" hidden="false" customHeight="false" outlineLevel="0" collapsed="false">
      <c r="A83" s="5" t="n">
        <v>82</v>
      </c>
      <c r="B83" s="5" t="s">
        <v>767</v>
      </c>
      <c r="C83" s="5" t="s">
        <v>20</v>
      </c>
      <c r="D83" s="5" t="s">
        <v>768</v>
      </c>
      <c r="E83" s="5" t="s">
        <v>681</v>
      </c>
      <c r="F83" s="5" t="s">
        <v>9</v>
      </c>
      <c r="G83" s="5" t="s">
        <v>241</v>
      </c>
      <c r="H83" s="5" t="s">
        <v>43</v>
      </c>
      <c r="I83" s="5" t="s">
        <v>43</v>
      </c>
      <c r="J83" s="5" t="s">
        <v>43</v>
      </c>
    </row>
    <row r="84" customFormat="false" ht="53.7" hidden="false" customHeight="false" outlineLevel="0" collapsed="false">
      <c r="A84" s="5" t="n">
        <v>83</v>
      </c>
      <c r="B84" s="5" t="s">
        <v>770</v>
      </c>
      <c r="C84" s="5" t="s">
        <v>20</v>
      </c>
      <c r="D84" s="5" t="s">
        <v>771</v>
      </c>
      <c r="E84" s="5" t="s">
        <v>681</v>
      </c>
      <c r="F84" s="5" t="s">
        <v>9</v>
      </c>
      <c r="G84" s="5" t="s">
        <v>241</v>
      </c>
      <c r="H84" s="5" t="s">
        <v>773</v>
      </c>
      <c r="I84" s="5" t="s">
        <v>43</v>
      </c>
      <c r="J84" s="5" t="s">
        <v>43</v>
      </c>
    </row>
    <row r="85" customFormat="false" ht="15" hidden="false" customHeight="false" outlineLevel="0" collapsed="false">
      <c r="A85" s="5" t="n">
        <v>84</v>
      </c>
      <c r="B85" s="5" t="s">
        <v>775</v>
      </c>
      <c r="C85" s="5" t="s">
        <v>20</v>
      </c>
      <c r="D85" s="5" t="s">
        <v>776</v>
      </c>
      <c r="E85" s="5" t="s">
        <v>681</v>
      </c>
      <c r="F85" s="5" t="s">
        <v>9</v>
      </c>
      <c r="G85" s="5" t="s">
        <v>241</v>
      </c>
      <c r="H85" s="5" t="s">
        <v>43</v>
      </c>
      <c r="I85" s="5" t="s">
        <v>43</v>
      </c>
      <c r="J85" s="5" t="s">
        <v>43</v>
      </c>
    </row>
    <row r="86" customFormat="false" ht="15" hidden="false" customHeight="false" outlineLevel="0" collapsed="false">
      <c r="A86" s="5" t="n">
        <v>85</v>
      </c>
      <c r="B86" s="5" t="s">
        <v>778</v>
      </c>
      <c r="C86" s="5" t="s">
        <v>20</v>
      </c>
      <c r="D86" s="5" t="s">
        <v>779</v>
      </c>
      <c r="E86" s="5" t="s">
        <v>681</v>
      </c>
      <c r="F86" s="5" t="s">
        <v>9</v>
      </c>
      <c r="G86" s="5" t="s">
        <v>241</v>
      </c>
      <c r="H86" s="5" t="s">
        <v>781</v>
      </c>
      <c r="I86" s="5" t="s">
        <v>43</v>
      </c>
      <c r="J86" s="5" t="s">
        <v>43</v>
      </c>
    </row>
    <row r="87" customFormat="false" ht="32.8" hidden="false" customHeight="false" outlineLevel="0" collapsed="false">
      <c r="A87" s="5" t="n">
        <v>86</v>
      </c>
      <c r="B87" s="5" t="s">
        <v>782</v>
      </c>
      <c r="C87" s="5" t="s">
        <v>20</v>
      </c>
      <c r="D87" s="5" t="s">
        <v>783</v>
      </c>
      <c r="E87" s="5" t="s">
        <v>681</v>
      </c>
      <c r="F87" s="5" t="s">
        <v>9</v>
      </c>
      <c r="G87" s="5" t="s">
        <v>241</v>
      </c>
      <c r="H87" s="5" t="s">
        <v>785</v>
      </c>
      <c r="I87" s="5" t="s">
        <v>43</v>
      </c>
      <c r="J87" s="5" t="s">
        <v>43</v>
      </c>
    </row>
    <row r="88" customFormat="false" ht="15" hidden="false" customHeight="false" outlineLevel="0" collapsed="false">
      <c r="A88" s="5" t="n">
        <v>87</v>
      </c>
      <c r="B88" s="5" t="s">
        <v>787</v>
      </c>
      <c r="C88" s="5" t="s">
        <v>20</v>
      </c>
      <c r="D88" s="5" t="s">
        <v>788</v>
      </c>
      <c r="E88" s="5" t="s">
        <v>681</v>
      </c>
      <c r="F88" s="5" t="s">
        <v>9</v>
      </c>
      <c r="G88" s="5" t="s">
        <v>241</v>
      </c>
      <c r="H88" s="5" t="s">
        <v>790</v>
      </c>
      <c r="I88" s="5" t="s">
        <v>43</v>
      </c>
      <c r="J88" s="5" t="s">
        <v>43</v>
      </c>
    </row>
    <row r="89" customFormat="false" ht="15" hidden="false" customHeight="false" outlineLevel="0" collapsed="false">
      <c r="A89" s="5" t="n">
        <v>88</v>
      </c>
      <c r="B89" s="5" t="s">
        <v>791</v>
      </c>
      <c r="C89" s="5" t="s">
        <v>20</v>
      </c>
      <c r="D89" s="5" t="s">
        <v>741</v>
      </c>
      <c r="E89" s="5" t="s">
        <v>681</v>
      </c>
      <c r="F89" s="5" t="s">
        <v>9</v>
      </c>
      <c r="G89" s="5" t="s">
        <v>241</v>
      </c>
      <c r="H89" s="5" t="s">
        <v>793</v>
      </c>
      <c r="I89" s="5" t="s">
        <v>43</v>
      </c>
      <c r="J89" s="5" t="s">
        <v>43</v>
      </c>
    </row>
    <row r="90" customFormat="false" ht="15" hidden="false" customHeight="false" outlineLevel="0" collapsed="false">
      <c r="A90" s="5" t="n">
        <v>89</v>
      </c>
      <c r="B90" s="5" t="s">
        <v>794</v>
      </c>
      <c r="C90" s="5" t="s">
        <v>20</v>
      </c>
      <c r="D90" s="5" t="s">
        <v>795</v>
      </c>
      <c r="E90" s="5" t="s">
        <v>681</v>
      </c>
      <c r="F90" s="5" t="s">
        <v>9</v>
      </c>
      <c r="G90" s="5" t="s">
        <v>241</v>
      </c>
      <c r="H90" s="5" t="s">
        <v>43</v>
      </c>
      <c r="I90" s="5" t="s">
        <v>43</v>
      </c>
      <c r="J90" s="5" t="s">
        <v>43</v>
      </c>
    </row>
    <row r="91" customFormat="false" ht="15" hidden="false" customHeight="false" outlineLevel="0" collapsed="false">
      <c r="A91" s="5" t="n">
        <v>90</v>
      </c>
      <c r="B91" s="5" t="s">
        <v>797</v>
      </c>
      <c r="C91" s="5" t="s">
        <v>20</v>
      </c>
      <c r="D91" s="5" t="s">
        <v>798</v>
      </c>
      <c r="E91" s="5" t="s">
        <v>681</v>
      </c>
      <c r="F91" s="5" t="s">
        <v>9</v>
      </c>
      <c r="G91" s="5" t="s">
        <v>241</v>
      </c>
      <c r="H91" s="5" t="s">
        <v>799</v>
      </c>
      <c r="I91" s="5" t="s">
        <v>43</v>
      </c>
      <c r="J91" s="5" t="s">
        <v>43</v>
      </c>
    </row>
    <row r="92" customFormat="false" ht="15" hidden="false" customHeight="false" outlineLevel="0" collapsed="false">
      <c r="A92" s="5" t="n">
        <v>91</v>
      </c>
      <c r="B92" s="5" t="s">
        <v>800</v>
      </c>
      <c r="C92" s="5" t="s">
        <v>20</v>
      </c>
      <c r="D92" s="5" t="s">
        <v>629</v>
      </c>
      <c r="E92" s="5" t="s">
        <v>681</v>
      </c>
      <c r="F92" s="5" t="s">
        <v>9</v>
      </c>
      <c r="G92" s="5" t="s">
        <v>241</v>
      </c>
      <c r="H92" s="5" t="s">
        <v>43</v>
      </c>
      <c r="I92" s="5" t="s">
        <v>43</v>
      </c>
      <c r="J92" s="5" t="s">
        <v>43</v>
      </c>
    </row>
    <row r="93" customFormat="false" ht="22.35" hidden="false" customHeight="false" outlineLevel="0" collapsed="false">
      <c r="A93" s="5" t="n">
        <v>92</v>
      </c>
      <c r="B93" s="5" t="s">
        <v>136</v>
      </c>
      <c r="C93" s="5" t="s">
        <v>21</v>
      </c>
      <c r="D93" s="5" t="s">
        <v>802</v>
      </c>
      <c r="E93" s="5" t="s">
        <v>681</v>
      </c>
      <c r="F93" s="5" t="s">
        <v>9</v>
      </c>
      <c r="G93" s="5" t="s">
        <v>241</v>
      </c>
      <c r="H93" s="5" t="s">
        <v>805</v>
      </c>
      <c r="I93" s="5" t="s">
        <v>43</v>
      </c>
      <c r="J93" s="5" t="s">
        <v>43</v>
      </c>
    </row>
    <row r="94" customFormat="false" ht="64.15" hidden="false" customHeight="false" outlineLevel="0" collapsed="false">
      <c r="A94" s="5" t="n">
        <v>93</v>
      </c>
      <c r="B94" s="5" t="s">
        <v>815</v>
      </c>
      <c r="C94" s="5" t="s">
        <v>21</v>
      </c>
      <c r="D94" s="5" t="s">
        <v>816</v>
      </c>
      <c r="E94" s="5" t="s">
        <v>681</v>
      </c>
      <c r="F94" s="5" t="s">
        <v>10</v>
      </c>
      <c r="G94" s="5" t="s">
        <v>819</v>
      </c>
      <c r="H94" s="5" t="s">
        <v>820</v>
      </c>
      <c r="I94" s="5" t="s">
        <v>821</v>
      </c>
      <c r="J94" s="5" t="s">
        <v>43</v>
      </c>
    </row>
    <row r="95" customFormat="false" ht="15" hidden="false" customHeight="false" outlineLevel="0" collapsed="false">
      <c r="A95" s="5" t="n">
        <v>94</v>
      </c>
      <c r="B95" s="5" t="s">
        <v>847</v>
      </c>
      <c r="C95" s="5" t="s">
        <v>22</v>
      </c>
      <c r="D95" s="5" t="s">
        <v>848</v>
      </c>
      <c r="E95" s="5" t="s">
        <v>226</v>
      </c>
      <c r="F95" s="5" t="s">
        <v>9</v>
      </c>
      <c r="G95" s="5" t="s">
        <v>241</v>
      </c>
      <c r="H95" s="5" t="s">
        <v>850</v>
      </c>
      <c r="I95" s="5" t="s">
        <v>43</v>
      </c>
      <c r="J95" s="5" t="s">
        <v>43</v>
      </c>
    </row>
    <row r="96" customFormat="false" ht="15" hidden="false" customHeight="false" outlineLevel="0" collapsed="false">
      <c r="A96" s="5" t="n">
        <v>95</v>
      </c>
      <c r="B96" s="5" t="s">
        <v>852</v>
      </c>
      <c r="C96" s="5" t="s">
        <v>22</v>
      </c>
      <c r="D96" s="5" t="s">
        <v>853</v>
      </c>
      <c r="E96" s="5" t="s">
        <v>226</v>
      </c>
      <c r="F96" s="5" t="s">
        <v>9</v>
      </c>
      <c r="G96" s="5" t="s">
        <v>241</v>
      </c>
      <c r="H96" s="5" t="s">
        <v>855</v>
      </c>
      <c r="I96" s="5" t="s">
        <v>43</v>
      </c>
      <c r="J96" s="5" t="s">
        <v>43</v>
      </c>
    </row>
    <row r="97" customFormat="false" ht="15" hidden="false" customHeight="false" outlineLevel="0" collapsed="false">
      <c r="A97" s="5" t="n">
        <v>96</v>
      </c>
      <c r="B97" s="5" t="s">
        <v>857</v>
      </c>
      <c r="C97" s="5" t="s">
        <v>22</v>
      </c>
      <c r="D97" s="5" t="s">
        <v>858</v>
      </c>
      <c r="E97" s="5" t="s">
        <v>226</v>
      </c>
      <c r="F97" s="5" t="s">
        <v>9</v>
      </c>
      <c r="G97" s="5" t="s">
        <v>241</v>
      </c>
      <c r="H97" s="5" t="s">
        <v>43</v>
      </c>
      <c r="I97" s="5" t="s">
        <v>43</v>
      </c>
      <c r="J97" s="5" t="s">
        <v>43</v>
      </c>
    </row>
    <row r="98" customFormat="false" ht="15" hidden="false" customHeight="false" outlineLevel="0" collapsed="false">
      <c r="A98" s="5" t="n">
        <v>97</v>
      </c>
      <c r="B98" s="5" t="s">
        <v>860</v>
      </c>
      <c r="C98" s="5" t="s">
        <v>22</v>
      </c>
      <c r="D98" s="5" t="s">
        <v>861</v>
      </c>
      <c r="E98" s="5" t="s">
        <v>226</v>
      </c>
      <c r="F98" s="5" t="s">
        <v>9</v>
      </c>
      <c r="G98" s="5" t="s">
        <v>241</v>
      </c>
      <c r="H98" s="5" t="s">
        <v>43</v>
      </c>
      <c r="I98" s="5" t="s">
        <v>43</v>
      </c>
      <c r="J98" s="5" t="s">
        <v>43</v>
      </c>
    </row>
    <row r="99" customFormat="false" ht="15" hidden="false" customHeight="false" outlineLevel="0" collapsed="false">
      <c r="A99" s="5" t="n">
        <v>98</v>
      </c>
      <c r="B99" s="5" t="s">
        <v>85</v>
      </c>
      <c r="C99" s="5" t="s">
        <v>22</v>
      </c>
      <c r="D99" s="5" t="s">
        <v>870</v>
      </c>
      <c r="E99" s="5" t="s">
        <v>226</v>
      </c>
      <c r="F99" s="5" t="s">
        <v>9</v>
      </c>
      <c r="G99" s="5" t="s">
        <v>241</v>
      </c>
      <c r="H99" s="5" t="s">
        <v>872</v>
      </c>
      <c r="I99" s="5" t="s">
        <v>43</v>
      </c>
      <c r="J99" s="5" t="s">
        <v>43</v>
      </c>
    </row>
    <row r="100" customFormat="false" ht="15" hidden="false" customHeight="false" outlineLevel="0" collapsed="false">
      <c r="A100" s="5" t="n">
        <v>99</v>
      </c>
      <c r="B100" s="5" t="s">
        <v>873</v>
      </c>
      <c r="C100" s="5" t="s">
        <v>22</v>
      </c>
      <c r="D100" s="5" t="s">
        <v>874</v>
      </c>
      <c r="E100" s="5" t="s">
        <v>246</v>
      </c>
      <c r="F100" s="5" t="s">
        <v>9</v>
      </c>
      <c r="G100" s="5" t="s">
        <v>241</v>
      </c>
      <c r="H100" s="5" t="s">
        <v>876</v>
      </c>
      <c r="I100" s="5" t="s">
        <v>43</v>
      </c>
      <c r="J100" s="5" t="s">
        <v>43</v>
      </c>
    </row>
    <row r="101" customFormat="false" ht="15" hidden="false" customHeight="false" outlineLevel="0" collapsed="false">
      <c r="A101" s="5" t="n">
        <v>100</v>
      </c>
      <c r="B101" s="5" t="s">
        <v>878</v>
      </c>
      <c r="C101" s="5" t="s">
        <v>22</v>
      </c>
      <c r="D101" s="5" t="s">
        <v>879</v>
      </c>
      <c r="E101" s="5" t="s">
        <v>246</v>
      </c>
      <c r="F101" s="5" t="s">
        <v>9</v>
      </c>
      <c r="G101" s="5" t="s">
        <v>241</v>
      </c>
      <c r="H101" s="5" t="s">
        <v>881</v>
      </c>
      <c r="I101" s="5" t="s">
        <v>43</v>
      </c>
      <c r="J101" s="5" t="s">
        <v>43</v>
      </c>
    </row>
    <row r="102" customFormat="false" ht="32.8" hidden="false" customHeight="false" outlineLevel="0" collapsed="false">
      <c r="A102" s="5" t="n">
        <v>101</v>
      </c>
      <c r="B102" s="5" t="s">
        <v>883</v>
      </c>
      <c r="C102" s="5" t="s">
        <v>22</v>
      </c>
      <c r="D102" s="5" t="s">
        <v>884</v>
      </c>
      <c r="E102" s="5" t="s">
        <v>226</v>
      </c>
      <c r="F102" s="5" t="s">
        <v>9</v>
      </c>
      <c r="G102" s="5" t="s">
        <v>241</v>
      </c>
      <c r="H102" s="5" t="s">
        <v>886</v>
      </c>
      <c r="I102" s="5" t="s">
        <v>887</v>
      </c>
      <c r="J102" s="5" t="s">
        <v>43</v>
      </c>
    </row>
    <row r="103" customFormat="false" ht="43.25" hidden="false" customHeight="false" outlineLevel="0" collapsed="false">
      <c r="A103" s="5" t="n">
        <v>102</v>
      </c>
      <c r="B103" s="5" t="s">
        <v>889</v>
      </c>
      <c r="C103" s="5" t="s">
        <v>23</v>
      </c>
      <c r="D103" s="5" t="s">
        <v>890</v>
      </c>
      <c r="E103" s="5" t="s">
        <v>681</v>
      </c>
      <c r="F103" s="5" t="s">
        <v>10</v>
      </c>
      <c r="G103" s="5" t="s">
        <v>892</v>
      </c>
      <c r="H103" s="5" t="s">
        <v>893</v>
      </c>
      <c r="I103" s="5" t="s">
        <v>894</v>
      </c>
      <c r="J103" s="5" t="s">
        <v>43</v>
      </c>
    </row>
    <row r="104" customFormat="false" ht="43.25" hidden="false" customHeight="false" outlineLevel="0" collapsed="false">
      <c r="A104" s="5" t="n">
        <v>103</v>
      </c>
      <c r="B104" s="5" t="s">
        <v>896</v>
      </c>
      <c r="C104" s="5" t="s">
        <v>23</v>
      </c>
      <c r="D104" s="5" t="s">
        <v>897</v>
      </c>
      <c r="E104" s="5" t="s">
        <v>681</v>
      </c>
      <c r="F104" s="5" t="s">
        <v>10</v>
      </c>
      <c r="G104" s="5" t="s">
        <v>899</v>
      </c>
      <c r="H104" s="5" t="s">
        <v>900</v>
      </c>
      <c r="I104" s="5" t="s">
        <v>43</v>
      </c>
      <c r="J104" s="5" t="s">
        <v>43</v>
      </c>
    </row>
    <row r="105" customFormat="false" ht="22.35" hidden="false" customHeight="false" outlineLevel="0" collapsed="false">
      <c r="A105" s="5" t="n">
        <v>104</v>
      </c>
      <c r="B105" s="5" t="s">
        <v>909</v>
      </c>
      <c r="C105" s="5" t="s">
        <v>23</v>
      </c>
      <c r="D105" s="5" t="s">
        <v>910</v>
      </c>
      <c r="E105" s="5" t="s">
        <v>681</v>
      </c>
      <c r="F105" s="5" t="s">
        <v>9</v>
      </c>
      <c r="G105" s="5" t="s">
        <v>241</v>
      </c>
      <c r="H105" s="5" t="s">
        <v>912</v>
      </c>
      <c r="I105" s="5" t="s">
        <v>43</v>
      </c>
      <c r="J105" s="5" t="s">
        <v>43</v>
      </c>
    </row>
    <row r="106" customFormat="false" ht="15" hidden="false" customHeight="false" outlineLevel="0" collapsed="false">
      <c r="A106" s="5" t="n">
        <v>105</v>
      </c>
      <c r="B106" s="5" t="s">
        <v>914</v>
      </c>
      <c r="C106" s="5" t="s">
        <v>23</v>
      </c>
      <c r="D106" s="5" t="s">
        <v>915</v>
      </c>
      <c r="E106" s="5" t="s">
        <v>681</v>
      </c>
      <c r="F106" s="5" t="s">
        <v>9</v>
      </c>
      <c r="G106" s="5" t="s">
        <v>241</v>
      </c>
      <c r="H106" s="5" t="s">
        <v>43</v>
      </c>
      <c r="I106" s="5" t="s">
        <v>43</v>
      </c>
      <c r="J106" s="5" t="s">
        <v>43</v>
      </c>
    </row>
    <row r="107" customFormat="false" ht="32.8" hidden="false" customHeight="false" outlineLevel="0" collapsed="false">
      <c r="A107" s="5" t="n">
        <v>106</v>
      </c>
      <c r="B107" s="5" t="s">
        <v>917</v>
      </c>
      <c r="C107" s="5" t="s">
        <v>23</v>
      </c>
      <c r="D107" s="5" t="s">
        <v>918</v>
      </c>
      <c r="E107" s="5" t="s">
        <v>681</v>
      </c>
      <c r="F107" s="5" t="s">
        <v>9</v>
      </c>
      <c r="G107" s="5" t="s">
        <v>241</v>
      </c>
      <c r="H107" s="5" t="s">
        <v>920</v>
      </c>
      <c r="I107" s="5" t="s">
        <v>43</v>
      </c>
      <c r="J107" s="5" t="s">
        <v>43</v>
      </c>
    </row>
    <row r="108" customFormat="false" ht="15" hidden="false" customHeight="false" outlineLevel="0" collapsed="false">
      <c r="A108" s="5" t="n">
        <v>107</v>
      </c>
      <c r="B108" s="5" t="s">
        <v>922</v>
      </c>
      <c r="C108" s="5" t="s">
        <v>23</v>
      </c>
      <c r="D108" s="5" t="s">
        <v>923</v>
      </c>
      <c r="E108" s="5" t="s">
        <v>681</v>
      </c>
      <c r="F108" s="5" t="s">
        <v>9</v>
      </c>
      <c r="G108" s="5" t="s">
        <v>241</v>
      </c>
      <c r="H108" s="5" t="s">
        <v>43</v>
      </c>
      <c r="I108" s="5" t="s">
        <v>43</v>
      </c>
      <c r="J108" s="5" t="s">
        <v>43</v>
      </c>
    </row>
    <row r="109" customFormat="false" ht="15" hidden="false" customHeight="false" outlineLevel="0" collapsed="false">
      <c r="A109" s="5" t="n">
        <v>108</v>
      </c>
      <c r="B109" s="5" t="s">
        <v>925</v>
      </c>
      <c r="C109" s="5" t="s">
        <v>23</v>
      </c>
      <c r="D109" s="5" t="s">
        <v>926</v>
      </c>
      <c r="E109" s="5" t="s">
        <v>681</v>
      </c>
      <c r="F109" s="5" t="s">
        <v>9</v>
      </c>
      <c r="G109" s="5" t="s">
        <v>241</v>
      </c>
      <c r="H109" s="5" t="s">
        <v>43</v>
      </c>
      <c r="I109" s="5" t="s">
        <v>43</v>
      </c>
      <c r="J109" s="5" t="s">
        <v>43</v>
      </c>
    </row>
    <row r="110" customFormat="false" ht="15" hidden="false" customHeight="false" outlineLevel="0" collapsed="false">
      <c r="A110" s="5" t="n">
        <v>109</v>
      </c>
      <c r="B110" s="5" t="s">
        <v>928</v>
      </c>
      <c r="C110" s="5" t="s">
        <v>23</v>
      </c>
      <c r="D110" s="5" t="s">
        <v>929</v>
      </c>
      <c r="E110" s="5" t="s">
        <v>681</v>
      </c>
      <c r="F110" s="5" t="s">
        <v>9</v>
      </c>
      <c r="G110" s="5" t="s">
        <v>241</v>
      </c>
      <c r="H110" s="5" t="s">
        <v>931</v>
      </c>
      <c r="I110" s="5" t="s">
        <v>43</v>
      </c>
      <c r="J110" s="5" t="s">
        <v>43</v>
      </c>
    </row>
    <row r="111" customFormat="false" ht="15" hidden="false" customHeight="false" outlineLevel="0" collapsed="false">
      <c r="A111" s="5" t="n">
        <v>110</v>
      </c>
      <c r="B111" s="5" t="s">
        <v>933</v>
      </c>
      <c r="C111" s="5" t="s">
        <v>23</v>
      </c>
      <c r="D111" s="5" t="s">
        <v>934</v>
      </c>
      <c r="E111" s="5" t="s">
        <v>681</v>
      </c>
      <c r="F111" s="5" t="s">
        <v>9</v>
      </c>
      <c r="G111" s="5" t="s">
        <v>241</v>
      </c>
      <c r="H111" s="5" t="s">
        <v>936</v>
      </c>
      <c r="I111" s="5" t="s">
        <v>937</v>
      </c>
      <c r="J111" s="5" t="s">
        <v>43</v>
      </c>
    </row>
    <row r="112" customFormat="false" ht="15" hidden="false" customHeight="false" outlineLevel="0" collapsed="false">
      <c r="A112" s="5" t="n">
        <v>111</v>
      </c>
      <c r="B112" s="5" t="s">
        <v>104</v>
      </c>
      <c r="C112" s="5" t="s">
        <v>23</v>
      </c>
      <c r="D112" s="5" t="s">
        <v>939</v>
      </c>
      <c r="E112" s="5" t="s">
        <v>681</v>
      </c>
      <c r="F112" s="5" t="s">
        <v>9</v>
      </c>
      <c r="G112" s="5" t="s">
        <v>241</v>
      </c>
      <c r="H112" s="5" t="s">
        <v>43</v>
      </c>
      <c r="I112" s="5" t="s">
        <v>43</v>
      </c>
      <c r="J112" s="5" t="s">
        <v>43</v>
      </c>
    </row>
    <row r="113" customFormat="false" ht="15" hidden="false" customHeight="false" outlineLevel="0" collapsed="false">
      <c r="A113" s="5" t="n">
        <v>112</v>
      </c>
      <c r="B113" s="5" t="s">
        <v>941</v>
      </c>
      <c r="C113" s="5" t="s">
        <v>23</v>
      </c>
      <c r="D113" s="5" t="s">
        <v>942</v>
      </c>
      <c r="E113" s="5" t="s">
        <v>681</v>
      </c>
      <c r="F113" s="5" t="s">
        <v>9</v>
      </c>
      <c r="G113" s="5" t="s">
        <v>241</v>
      </c>
      <c r="H113" s="5" t="s">
        <v>944</v>
      </c>
      <c r="I113" s="5" t="s">
        <v>43</v>
      </c>
      <c r="J113" s="5" t="s">
        <v>43</v>
      </c>
    </row>
    <row r="114" customFormat="false" ht="32.8" hidden="false" customHeight="false" outlineLevel="0" collapsed="false">
      <c r="A114" s="5" t="n">
        <v>113</v>
      </c>
      <c r="B114" s="5" t="s">
        <v>946</v>
      </c>
      <c r="C114" s="5" t="s">
        <v>23</v>
      </c>
      <c r="D114" s="5" t="s">
        <v>947</v>
      </c>
      <c r="E114" s="5" t="s">
        <v>681</v>
      </c>
      <c r="F114" s="5" t="s">
        <v>10</v>
      </c>
      <c r="G114" s="5" t="s">
        <v>241</v>
      </c>
      <c r="H114" s="5" t="s">
        <v>949</v>
      </c>
      <c r="I114" s="5" t="s">
        <v>43</v>
      </c>
      <c r="J114" s="5" t="s">
        <v>43</v>
      </c>
    </row>
    <row r="115" customFormat="false" ht="15" hidden="false" customHeight="false" outlineLevel="0" collapsed="false">
      <c r="A115" s="5" t="n">
        <v>114</v>
      </c>
      <c r="B115" s="5" t="s">
        <v>951</v>
      </c>
      <c r="C115" s="5" t="s">
        <v>23</v>
      </c>
      <c r="D115" s="5" t="s">
        <v>952</v>
      </c>
      <c r="E115" s="5" t="s">
        <v>681</v>
      </c>
      <c r="F115" s="5" t="s">
        <v>9</v>
      </c>
      <c r="G115" s="5" t="s">
        <v>241</v>
      </c>
      <c r="H115" s="5" t="s">
        <v>954</v>
      </c>
      <c r="I115" s="5" t="s">
        <v>43</v>
      </c>
      <c r="J115" s="5" t="s">
        <v>43</v>
      </c>
    </row>
    <row r="116" customFormat="false" ht="22.35" hidden="false" customHeight="false" outlineLevel="0" collapsed="false">
      <c r="A116" s="5" t="n">
        <v>115</v>
      </c>
      <c r="B116" s="5" t="s">
        <v>956</v>
      </c>
      <c r="C116" s="5" t="s">
        <v>23</v>
      </c>
      <c r="D116" s="5" t="s">
        <v>958</v>
      </c>
      <c r="E116" s="5" t="s">
        <v>681</v>
      </c>
      <c r="F116" s="5" t="s">
        <v>9</v>
      </c>
      <c r="G116" s="5" t="s">
        <v>241</v>
      </c>
      <c r="H116" s="5" t="s">
        <v>960</v>
      </c>
      <c r="I116" s="5" t="s">
        <v>43</v>
      </c>
      <c r="J116" s="5" t="s">
        <v>43</v>
      </c>
    </row>
    <row r="117" customFormat="false" ht="22.35" hidden="false" customHeight="false" outlineLevel="0" collapsed="false">
      <c r="A117" s="5" t="n">
        <v>116</v>
      </c>
      <c r="B117" s="5" t="s">
        <v>962</v>
      </c>
      <c r="C117" s="5" t="s">
        <v>23</v>
      </c>
      <c r="D117" s="5" t="s">
        <v>963</v>
      </c>
      <c r="E117" s="5" t="s">
        <v>681</v>
      </c>
      <c r="F117" s="5" t="s">
        <v>9</v>
      </c>
      <c r="G117" s="5" t="s">
        <v>241</v>
      </c>
      <c r="H117" s="5" t="s">
        <v>965</v>
      </c>
      <c r="I117" s="5" t="s">
        <v>43</v>
      </c>
      <c r="J117" s="5" t="s">
        <v>43</v>
      </c>
    </row>
    <row r="118" customFormat="false" ht="22.35" hidden="false" customHeight="false" outlineLevel="0" collapsed="false">
      <c r="A118" s="5" t="n">
        <v>117</v>
      </c>
      <c r="B118" s="5" t="s">
        <v>967</v>
      </c>
      <c r="C118" s="5" t="s">
        <v>23</v>
      </c>
      <c r="D118" s="5" t="s">
        <v>968</v>
      </c>
      <c r="E118" s="5" t="s">
        <v>681</v>
      </c>
      <c r="F118" s="5" t="s">
        <v>9</v>
      </c>
      <c r="G118" s="5" t="s">
        <v>241</v>
      </c>
      <c r="H118" s="5" t="s">
        <v>970</v>
      </c>
      <c r="I118" s="5" t="s">
        <v>43</v>
      </c>
      <c r="J118" s="5" t="s">
        <v>43</v>
      </c>
    </row>
    <row r="119" customFormat="false" ht="15" hidden="false" customHeight="false" outlineLevel="0" collapsed="false">
      <c r="A119" s="5" t="n">
        <v>118</v>
      </c>
      <c r="B119" s="5" t="s">
        <v>972</v>
      </c>
      <c r="C119" s="5" t="s">
        <v>23</v>
      </c>
      <c r="D119" s="5" t="s">
        <v>973</v>
      </c>
      <c r="E119" s="5" t="s">
        <v>681</v>
      </c>
      <c r="F119" s="5" t="s">
        <v>9</v>
      </c>
      <c r="G119" s="5" t="s">
        <v>241</v>
      </c>
      <c r="H119" s="5" t="s">
        <v>975</v>
      </c>
      <c r="I119" s="5" t="s">
        <v>43</v>
      </c>
      <c r="J119" s="5" t="s">
        <v>43</v>
      </c>
    </row>
    <row r="120" customFormat="false" ht="43.25" hidden="false" customHeight="false" outlineLevel="0" collapsed="false">
      <c r="A120" s="5" t="n">
        <v>119</v>
      </c>
      <c r="B120" s="5" t="s">
        <v>976</v>
      </c>
      <c r="C120" s="5" t="s">
        <v>23</v>
      </c>
      <c r="D120" s="5" t="s">
        <v>977</v>
      </c>
      <c r="E120" s="5" t="s">
        <v>681</v>
      </c>
      <c r="F120" s="5" t="s">
        <v>9</v>
      </c>
      <c r="G120" s="5" t="s">
        <v>241</v>
      </c>
      <c r="H120" s="5" t="s">
        <v>979</v>
      </c>
      <c r="I120" s="5" t="s">
        <v>43</v>
      </c>
      <c r="J120" s="5" t="s">
        <v>43</v>
      </c>
    </row>
    <row r="121" customFormat="false" ht="15" hidden="false" customHeight="false" outlineLevel="0" collapsed="false">
      <c r="A121" s="5" t="n">
        <v>120</v>
      </c>
      <c r="B121" s="5" t="s">
        <v>981</v>
      </c>
      <c r="C121" s="5" t="s">
        <v>24</v>
      </c>
      <c r="D121" s="5" t="s">
        <v>982</v>
      </c>
      <c r="E121" s="5" t="s">
        <v>681</v>
      </c>
      <c r="F121" s="5" t="s">
        <v>9</v>
      </c>
      <c r="G121" s="5" t="s">
        <v>241</v>
      </c>
      <c r="H121" s="5" t="s">
        <v>985</v>
      </c>
      <c r="I121" s="5" t="s">
        <v>43</v>
      </c>
      <c r="J121" s="5" t="s">
        <v>43</v>
      </c>
    </row>
    <row r="122" customFormat="false" ht="15" hidden="false" customHeight="false" outlineLevel="0" collapsed="false">
      <c r="A122" s="5" t="n">
        <v>121</v>
      </c>
      <c r="B122" s="5" t="s">
        <v>986</v>
      </c>
      <c r="C122" s="5" t="s">
        <v>24</v>
      </c>
      <c r="D122" s="5" t="s">
        <v>987</v>
      </c>
      <c r="E122" s="5" t="s">
        <v>681</v>
      </c>
      <c r="F122" s="5" t="s">
        <v>9</v>
      </c>
      <c r="G122" s="5" t="s">
        <v>241</v>
      </c>
      <c r="H122" s="5" t="s">
        <v>990</v>
      </c>
      <c r="I122" s="5" t="s">
        <v>43</v>
      </c>
      <c r="J122" s="5" t="s">
        <v>43</v>
      </c>
    </row>
    <row r="123" customFormat="false" ht="15" hidden="false" customHeight="false" outlineLevel="0" collapsed="false">
      <c r="A123" s="5" t="n">
        <v>122</v>
      </c>
      <c r="B123" s="5" t="s">
        <v>991</v>
      </c>
      <c r="C123" s="5" t="s">
        <v>24</v>
      </c>
      <c r="D123" s="5" t="s">
        <v>992</v>
      </c>
      <c r="E123" s="5" t="s">
        <v>681</v>
      </c>
      <c r="F123" s="5" t="s">
        <v>9</v>
      </c>
      <c r="G123" s="5" t="s">
        <v>241</v>
      </c>
      <c r="H123" s="5" t="s">
        <v>995</v>
      </c>
      <c r="I123" s="5" t="s">
        <v>43</v>
      </c>
      <c r="J123" s="5" t="s">
        <v>43</v>
      </c>
    </row>
    <row r="124" customFormat="false" ht="15" hidden="false" customHeight="false" outlineLevel="0" collapsed="false">
      <c r="A124" s="5" t="n">
        <v>123</v>
      </c>
      <c r="B124" s="5" t="s">
        <v>996</v>
      </c>
      <c r="C124" s="5" t="s">
        <v>24</v>
      </c>
      <c r="D124" s="5" t="s">
        <v>997</v>
      </c>
      <c r="E124" s="5" t="s">
        <v>681</v>
      </c>
      <c r="F124" s="5" t="s">
        <v>9</v>
      </c>
      <c r="G124" s="5" t="s">
        <v>241</v>
      </c>
      <c r="H124" s="5" t="s">
        <v>1000</v>
      </c>
      <c r="I124" s="5" t="s">
        <v>43</v>
      </c>
      <c r="J124" s="5" t="s">
        <v>43</v>
      </c>
    </row>
    <row r="125" customFormat="false" ht="15" hidden="false" customHeight="false" outlineLevel="0" collapsed="false">
      <c r="A125" s="5" t="n">
        <v>124</v>
      </c>
      <c r="B125" s="5" t="s">
        <v>1001</v>
      </c>
      <c r="C125" s="5" t="s">
        <v>24</v>
      </c>
      <c r="D125" s="5" t="s">
        <v>1002</v>
      </c>
      <c r="E125" s="5" t="s">
        <v>681</v>
      </c>
      <c r="F125" s="5" t="s">
        <v>9</v>
      </c>
      <c r="G125" s="5" t="s">
        <v>241</v>
      </c>
      <c r="H125" s="5" t="s">
        <v>1005</v>
      </c>
      <c r="I125" s="5" t="s">
        <v>43</v>
      </c>
      <c r="J125" s="5" t="s">
        <v>43</v>
      </c>
    </row>
    <row r="126" customFormat="false" ht="15" hidden="false" customHeight="false" outlineLevel="0" collapsed="false">
      <c r="A126" s="5" t="n">
        <v>125</v>
      </c>
      <c r="B126" s="5" t="s">
        <v>1006</v>
      </c>
      <c r="C126" s="5" t="s">
        <v>24</v>
      </c>
      <c r="D126" s="5" t="s">
        <v>1007</v>
      </c>
      <c r="E126" s="5" t="s">
        <v>681</v>
      </c>
      <c r="F126" s="5" t="s">
        <v>9</v>
      </c>
      <c r="G126" s="5" t="s">
        <v>241</v>
      </c>
      <c r="H126" s="5" t="s">
        <v>1009</v>
      </c>
      <c r="I126" s="5" t="s">
        <v>43</v>
      </c>
      <c r="J126" s="5" t="s">
        <v>43</v>
      </c>
    </row>
    <row r="127" customFormat="false" ht="15" hidden="false" customHeight="false" outlineLevel="0" collapsed="false">
      <c r="A127" s="5" t="n">
        <v>126</v>
      </c>
      <c r="B127" s="5" t="s">
        <v>1010</v>
      </c>
      <c r="C127" s="5" t="s">
        <v>24</v>
      </c>
      <c r="D127" s="5" t="s">
        <v>1011</v>
      </c>
      <c r="E127" s="5" t="s">
        <v>681</v>
      </c>
      <c r="F127" s="5" t="s">
        <v>9</v>
      </c>
      <c r="G127" s="5" t="s">
        <v>241</v>
      </c>
      <c r="H127" s="5" t="s">
        <v>1013</v>
      </c>
      <c r="I127" s="5" t="s">
        <v>43</v>
      </c>
      <c r="J127" s="5" t="s">
        <v>43</v>
      </c>
    </row>
    <row r="128" customFormat="false" ht="15" hidden="false" customHeight="false" outlineLevel="0" collapsed="false">
      <c r="A128" s="5" t="n">
        <v>127</v>
      </c>
      <c r="B128" s="5" t="s">
        <v>1014</v>
      </c>
      <c r="C128" s="5" t="s">
        <v>24</v>
      </c>
      <c r="D128" s="5" t="s">
        <v>1015</v>
      </c>
      <c r="E128" s="5" t="s">
        <v>681</v>
      </c>
      <c r="F128" s="5" t="s">
        <v>9</v>
      </c>
      <c r="G128" s="5" t="s">
        <v>241</v>
      </c>
      <c r="H128" s="5" t="s">
        <v>1017</v>
      </c>
      <c r="I128" s="5" t="s">
        <v>43</v>
      </c>
      <c r="J128" s="5" t="s">
        <v>43</v>
      </c>
    </row>
    <row r="129" customFormat="false" ht="15" hidden="false" customHeight="false" outlineLevel="0" collapsed="false">
      <c r="A129" s="5" t="n">
        <v>128</v>
      </c>
      <c r="B129" s="5" t="s">
        <v>1018</v>
      </c>
      <c r="C129" s="5" t="s">
        <v>24</v>
      </c>
      <c r="D129" s="5" t="s">
        <v>1019</v>
      </c>
      <c r="E129" s="5" t="s">
        <v>681</v>
      </c>
      <c r="F129" s="5" t="s">
        <v>9</v>
      </c>
      <c r="G129" s="5" t="s">
        <v>241</v>
      </c>
      <c r="H129" s="5" t="s">
        <v>1022</v>
      </c>
      <c r="I129" s="5" t="s">
        <v>43</v>
      </c>
      <c r="J129" s="5" t="s">
        <v>43</v>
      </c>
    </row>
    <row r="130" customFormat="false" ht="15" hidden="false" customHeight="false" outlineLevel="0" collapsed="false">
      <c r="A130" s="5" t="n">
        <v>129</v>
      </c>
      <c r="B130" s="5" t="s">
        <v>1023</v>
      </c>
      <c r="C130" s="5" t="s">
        <v>24</v>
      </c>
      <c r="D130" s="5" t="s">
        <v>1024</v>
      </c>
      <c r="E130" s="5" t="s">
        <v>681</v>
      </c>
      <c r="F130" s="5" t="s">
        <v>9</v>
      </c>
      <c r="G130" s="5" t="s">
        <v>241</v>
      </c>
      <c r="H130" s="5" t="s">
        <v>1027</v>
      </c>
      <c r="I130" s="5" t="s">
        <v>43</v>
      </c>
      <c r="J130" s="5" t="s">
        <v>43</v>
      </c>
    </row>
    <row r="131" customFormat="false" ht="15" hidden="false" customHeight="false" outlineLevel="0" collapsed="false">
      <c r="A131" s="5" t="n">
        <v>130</v>
      </c>
      <c r="B131" s="5" t="s">
        <v>1028</v>
      </c>
      <c r="C131" s="5" t="s">
        <v>24</v>
      </c>
      <c r="D131" s="5" t="s">
        <v>1029</v>
      </c>
      <c r="E131" s="5" t="s">
        <v>681</v>
      </c>
      <c r="F131" s="5" t="s">
        <v>9</v>
      </c>
      <c r="G131" s="5" t="s">
        <v>241</v>
      </c>
      <c r="H131" s="5" t="s">
        <v>1031</v>
      </c>
      <c r="I131" s="5" t="s">
        <v>43</v>
      </c>
      <c r="J131" s="5" t="s">
        <v>43</v>
      </c>
    </row>
    <row r="132" customFormat="false" ht="15" hidden="false" customHeight="false" outlineLevel="0" collapsed="false">
      <c r="A132" s="5" t="n">
        <v>131</v>
      </c>
      <c r="B132" s="5" t="s">
        <v>1032</v>
      </c>
      <c r="C132" s="5" t="s">
        <v>24</v>
      </c>
      <c r="D132" s="5" t="s">
        <v>1033</v>
      </c>
      <c r="E132" s="5" t="s">
        <v>681</v>
      </c>
      <c r="F132" s="5" t="s">
        <v>9</v>
      </c>
      <c r="G132" s="5" t="s">
        <v>241</v>
      </c>
      <c r="H132" s="5" t="s">
        <v>1035</v>
      </c>
      <c r="I132" s="5" t="s">
        <v>43</v>
      </c>
      <c r="J132" s="5" t="s">
        <v>43</v>
      </c>
    </row>
    <row r="133" customFormat="false" ht="15" hidden="false" customHeight="false" outlineLevel="0" collapsed="false">
      <c r="A133" s="5" t="n">
        <v>132</v>
      </c>
      <c r="B133" s="5" t="s">
        <v>1036</v>
      </c>
      <c r="C133" s="5" t="s">
        <v>24</v>
      </c>
      <c r="D133" s="5" t="s">
        <v>1037</v>
      </c>
      <c r="E133" s="5" t="s">
        <v>681</v>
      </c>
      <c r="F133" s="5" t="s">
        <v>9</v>
      </c>
      <c r="G133" s="5" t="s">
        <v>241</v>
      </c>
      <c r="H133" s="5" t="s">
        <v>1039</v>
      </c>
      <c r="I133" s="5" t="s">
        <v>43</v>
      </c>
      <c r="J133" s="5" t="s">
        <v>43</v>
      </c>
    </row>
    <row r="134" customFormat="false" ht="15" hidden="false" customHeight="false" outlineLevel="0" collapsed="false">
      <c r="A134" s="5" t="n">
        <v>133</v>
      </c>
      <c r="B134" s="5" t="s">
        <v>1040</v>
      </c>
      <c r="C134" s="5" t="s">
        <v>24</v>
      </c>
      <c r="D134" s="5" t="s">
        <v>1041</v>
      </c>
      <c r="E134" s="5" t="s">
        <v>681</v>
      </c>
      <c r="F134" s="5" t="s">
        <v>9</v>
      </c>
      <c r="G134" s="5" t="s">
        <v>241</v>
      </c>
      <c r="H134" s="5" t="s">
        <v>1044</v>
      </c>
      <c r="I134" s="5" t="s">
        <v>43</v>
      </c>
      <c r="J134" s="5" t="s">
        <v>43</v>
      </c>
    </row>
    <row r="135" customFormat="false" ht="15" hidden="false" customHeight="false" outlineLevel="0" collapsed="false">
      <c r="A135" s="5" t="n">
        <v>134</v>
      </c>
      <c r="B135" s="5" t="s">
        <v>1045</v>
      </c>
      <c r="C135" s="5" t="s">
        <v>24</v>
      </c>
      <c r="D135" s="5" t="s">
        <v>1046</v>
      </c>
      <c r="E135" s="5" t="s">
        <v>681</v>
      </c>
      <c r="F135" s="5" t="s">
        <v>9</v>
      </c>
      <c r="G135" s="5" t="s">
        <v>241</v>
      </c>
      <c r="H135" s="5" t="s">
        <v>1049</v>
      </c>
      <c r="I135" s="5" t="s">
        <v>43</v>
      </c>
      <c r="J135" s="5" t="s">
        <v>43</v>
      </c>
    </row>
    <row r="136" customFormat="false" ht="43.25" hidden="false" customHeight="false" outlineLevel="0" collapsed="false">
      <c r="A136" s="5" t="n">
        <v>135</v>
      </c>
      <c r="B136" s="5" t="s">
        <v>1051</v>
      </c>
      <c r="C136" s="5" t="s">
        <v>25</v>
      </c>
      <c r="D136" s="5" t="s">
        <v>1052</v>
      </c>
      <c r="E136" s="5" t="s">
        <v>681</v>
      </c>
      <c r="F136" s="5" t="s">
        <v>9</v>
      </c>
      <c r="G136" s="5" t="s">
        <v>241</v>
      </c>
      <c r="H136" s="5" t="s">
        <v>1054</v>
      </c>
      <c r="I136" s="5" t="s">
        <v>1055</v>
      </c>
      <c r="J136" s="5" t="s">
        <v>43</v>
      </c>
    </row>
    <row r="137" customFormat="false" ht="53.7" hidden="false" customHeight="false" outlineLevel="0" collapsed="false">
      <c r="A137" s="5" t="n">
        <v>136</v>
      </c>
      <c r="B137" s="5" t="s">
        <v>1057</v>
      </c>
      <c r="C137" s="5" t="s">
        <v>25</v>
      </c>
      <c r="D137" s="5" t="s">
        <v>1058</v>
      </c>
      <c r="E137" s="5" t="s">
        <v>681</v>
      </c>
      <c r="F137" s="5" t="s">
        <v>9</v>
      </c>
      <c r="G137" s="5" t="s">
        <v>241</v>
      </c>
      <c r="H137" s="5" t="s">
        <v>1059</v>
      </c>
      <c r="I137" s="5" t="s">
        <v>43</v>
      </c>
      <c r="J137" s="5" t="s">
        <v>43</v>
      </c>
    </row>
    <row r="138" customFormat="false" ht="43.25" hidden="false" customHeight="false" outlineLevel="0" collapsed="false">
      <c r="A138" s="5" t="n">
        <v>137</v>
      </c>
      <c r="B138" s="5" t="s">
        <v>1061</v>
      </c>
      <c r="C138" s="5" t="s">
        <v>25</v>
      </c>
      <c r="D138" s="5" t="s">
        <v>1062</v>
      </c>
      <c r="E138" s="5" t="s">
        <v>681</v>
      </c>
      <c r="F138" s="5" t="s">
        <v>9</v>
      </c>
      <c r="G138" s="5" t="s">
        <v>241</v>
      </c>
      <c r="H138" s="5" t="s">
        <v>1063</v>
      </c>
      <c r="I138" s="5" t="s">
        <v>43</v>
      </c>
      <c r="J138" s="5" t="s">
        <v>43</v>
      </c>
    </row>
    <row r="139" customFormat="false" ht="32.8" hidden="false" customHeight="false" outlineLevel="0" collapsed="false">
      <c r="A139" s="5" t="n">
        <v>138</v>
      </c>
      <c r="B139" s="5" t="s">
        <v>1065</v>
      </c>
      <c r="C139" s="5" t="s">
        <v>25</v>
      </c>
      <c r="D139" s="5" t="s">
        <v>1066</v>
      </c>
      <c r="E139" s="5" t="s">
        <v>681</v>
      </c>
      <c r="F139" s="5" t="s">
        <v>9</v>
      </c>
      <c r="G139" s="5" t="s">
        <v>241</v>
      </c>
      <c r="H139" s="5" t="s">
        <v>1067</v>
      </c>
      <c r="I139" s="5" t="s">
        <v>43</v>
      </c>
      <c r="J139" s="5" t="s">
        <v>43</v>
      </c>
    </row>
    <row r="140" customFormat="false" ht="32.8" hidden="false" customHeight="false" outlineLevel="0" collapsed="false">
      <c r="A140" s="5" t="n">
        <v>139</v>
      </c>
      <c r="B140" s="5" t="s">
        <v>1069</v>
      </c>
      <c r="C140" s="5" t="s">
        <v>25</v>
      </c>
      <c r="D140" s="5" t="s">
        <v>1070</v>
      </c>
      <c r="E140" s="5" t="s">
        <v>681</v>
      </c>
      <c r="F140" s="5" t="s">
        <v>9</v>
      </c>
      <c r="G140" s="5" t="s">
        <v>241</v>
      </c>
      <c r="H140" s="5" t="s">
        <v>1071</v>
      </c>
      <c r="I140" s="5" t="s">
        <v>43</v>
      </c>
      <c r="J140" s="5" t="s">
        <v>43</v>
      </c>
    </row>
    <row r="141" customFormat="false" ht="43.25" hidden="false" customHeight="false" outlineLevel="0" collapsed="false">
      <c r="A141" s="5" t="n">
        <v>140</v>
      </c>
      <c r="B141" s="5" t="s">
        <v>1073</v>
      </c>
      <c r="C141" s="5" t="s">
        <v>25</v>
      </c>
      <c r="D141" s="5" t="s">
        <v>1074</v>
      </c>
      <c r="E141" s="5" t="s">
        <v>681</v>
      </c>
      <c r="F141" s="5" t="s">
        <v>9</v>
      </c>
      <c r="G141" s="5" t="s">
        <v>241</v>
      </c>
      <c r="H141" s="5" t="s">
        <v>1075</v>
      </c>
      <c r="I141" s="5" t="s">
        <v>1076</v>
      </c>
      <c r="J141" s="5" t="s">
        <v>43</v>
      </c>
    </row>
    <row r="142" customFormat="false" ht="64.15" hidden="false" customHeight="false" outlineLevel="0" collapsed="false">
      <c r="A142" s="5" t="n">
        <v>141</v>
      </c>
      <c r="B142" s="5" t="s">
        <v>1084</v>
      </c>
      <c r="C142" s="5" t="s">
        <v>25</v>
      </c>
      <c r="D142" s="5" t="s">
        <v>1085</v>
      </c>
      <c r="E142" s="5" t="s">
        <v>681</v>
      </c>
      <c r="F142" s="5" t="s">
        <v>9</v>
      </c>
      <c r="G142" s="5" t="s">
        <v>241</v>
      </c>
      <c r="H142" s="5" t="s">
        <v>1086</v>
      </c>
      <c r="I142" s="5" t="s">
        <v>1087</v>
      </c>
      <c r="J142" s="5" t="s">
        <v>43</v>
      </c>
    </row>
    <row r="143" customFormat="false" ht="53.7" hidden="false" customHeight="false" outlineLevel="0" collapsed="false">
      <c r="A143" s="5" t="n">
        <v>142</v>
      </c>
      <c r="B143" s="5" t="s">
        <v>1089</v>
      </c>
      <c r="C143" s="5" t="s">
        <v>25</v>
      </c>
      <c r="D143" s="5" t="s">
        <v>1090</v>
      </c>
      <c r="E143" s="5" t="s">
        <v>681</v>
      </c>
      <c r="F143" s="5" t="s">
        <v>9</v>
      </c>
      <c r="G143" s="5" t="s">
        <v>241</v>
      </c>
      <c r="H143" s="5" t="s">
        <v>1091</v>
      </c>
      <c r="I143" s="5" t="s">
        <v>43</v>
      </c>
      <c r="J143" s="5" t="s">
        <v>43</v>
      </c>
    </row>
    <row r="144" customFormat="false" ht="43.25" hidden="false" customHeight="false" outlineLevel="0" collapsed="false">
      <c r="A144" s="5" t="n">
        <v>143</v>
      </c>
      <c r="B144" s="5" t="s">
        <v>1093</v>
      </c>
      <c r="C144" s="5" t="s">
        <v>25</v>
      </c>
      <c r="D144" s="5" t="s">
        <v>1094</v>
      </c>
      <c r="E144" s="5" t="s">
        <v>681</v>
      </c>
      <c r="F144" s="5" t="s">
        <v>43</v>
      </c>
      <c r="G144" s="5" t="s">
        <v>241</v>
      </c>
      <c r="H144" s="5" t="s">
        <v>1097</v>
      </c>
      <c r="I144" s="5" t="s">
        <v>43</v>
      </c>
      <c r="J144" s="5" t="s">
        <v>43</v>
      </c>
    </row>
  </sheetData>
  <autoFilter ref="A1:J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45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4" t="s">
        <v>32</v>
      </c>
      <c r="B1" s="4" t="s">
        <v>209</v>
      </c>
      <c r="C1" s="4" t="s">
        <v>16</v>
      </c>
      <c r="D1" s="4" t="s">
        <v>211</v>
      </c>
      <c r="E1" s="4" t="s">
        <v>212</v>
      </c>
      <c r="F1" s="4" t="s">
        <v>216</v>
      </c>
      <c r="G1" s="4" t="s">
        <v>218</v>
      </c>
      <c r="H1" s="4" t="s">
        <v>1099</v>
      </c>
      <c r="I1" s="4" t="s">
        <v>220</v>
      </c>
      <c r="J1" s="4" t="s">
        <v>221</v>
      </c>
    </row>
    <row r="2" customFormat="false" ht="43.25" hidden="false" customHeight="false" outlineLevel="0" collapsed="false">
      <c r="A2" s="5" t="n">
        <v>1</v>
      </c>
      <c r="B2" s="5" t="s">
        <v>387</v>
      </c>
      <c r="C2" s="5" t="s">
        <v>18</v>
      </c>
      <c r="D2" s="5" t="s">
        <v>388</v>
      </c>
      <c r="E2" s="5" t="s">
        <v>226</v>
      </c>
      <c r="F2" s="5" t="s">
        <v>10</v>
      </c>
      <c r="G2" s="5" t="s">
        <v>392</v>
      </c>
      <c r="H2" s="5" t="s">
        <v>393</v>
      </c>
      <c r="I2" s="5" t="s">
        <v>394</v>
      </c>
      <c r="J2" s="5" t="s">
        <v>43</v>
      </c>
    </row>
    <row r="3" customFormat="false" ht="43.25" hidden="false" customHeight="false" outlineLevel="0" collapsed="false">
      <c r="A3" s="5" t="n">
        <v>2</v>
      </c>
      <c r="B3" s="5" t="s">
        <v>807</v>
      </c>
      <c r="C3" s="5" t="s">
        <v>21</v>
      </c>
      <c r="D3" s="5" t="s">
        <v>808</v>
      </c>
      <c r="E3" s="5" t="s">
        <v>681</v>
      </c>
      <c r="F3" s="5" t="s">
        <v>10</v>
      </c>
      <c r="G3" s="5" t="s">
        <v>811</v>
      </c>
      <c r="H3" s="5" t="s">
        <v>812</v>
      </c>
      <c r="I3" s="5" t="s">
        <v>813</v>
      </c>
      <c r="J3" s="5" t="s">
        <v>43</v>
      </c>
    </row>
    <row r="4" customFormat="false" ht="32.8" hidden="false" customHeight="false" outlineLevel="0" collapsed="false">
      <c r="A4" s="5" t="n">
        <v>3</v>
      </c>
      <c r="B4" s="5" t="s">
        <v>823</v>
      </c>
      <c r="C4" s="5" t="s">
        <v>21</v>
      </c>
      <c r="D4" s="5" t="s">
        <v>824</v>
      </c>
      <c r="E4" s="5" t="s">
        <v>681</v>
      </c>
      <c r="F4" s="5" t="s">
        <v>10</v>
      </c>
      <c r="G4" s="5" t="s">
        <v>811</v>
      </c>
      <c r="H4" s="5" t="s">
        <v>827</v>
      </c>
      <c r="I4" s="5" t="s">
        <v>828</v>
      </c>
      <c r="J4" s="5" t="s">
        <v>43</v>
      </c>
    </row>
    <row r="5" customFormat="false" ht="43.25" hidden="false" customHeight="false" outlineLevel="0" collapsed="false">
      <c r="A5" s="5" t="n">
        <v>4</v>
      </c>
      <c r="B5" s="5" t="s">
        <v>863</v>
      </c>
      <c r="C5" s="5" t="s">
        <v>22</v>
      </c>
      <c r="D5" s="5" t="s">
        <v>864</v>
      </c>
      <c r="E5" s="5" t="s">
        <v>226</v>
      </c>
      <c r="F5" s="5" t="s">
        <v>10</v>
      </c>
      <c r="G5" s="5" t="s">
        <v>866</v>
      </c>
      <c r="H5" s="5" t="s">
        <v>867</v>
      </c>
      <c r="I5" s="5" t="s">
        <v>868</v>
      </c>
      <c r="J5" s="5" t="s">
        <v>43</v>
      </c>
    </row>
  </sheetData>
  <autoFilter ref="A1:J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45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4" t="s">
        <v>32</v>
      </c>
      <c r="B1" s="4" t="s">
        <v>209</v>
      </c>
      <c r="C1" s="4" t="s">
        <v>16</v>
      </c>
      <c r="D1" s="4" t="s">
        <v>211</v>
      </c>
      <c r="E1" s="4" t="s">
        <v>212</v>
      </c>
      <c r="F1" s="4" t="s">
        <v>216</v>
      </c>
      <c r="G1" s="4" t="s">
        <v>218</v>
      </c>
      <c r="H1" s="4" t="s">
        <v>1099</v>
      </c>
      <c r="I1" s="4" t="s">
        <v>220</v>
      </c>
      <c r="J1" s="4" t="s">
        <v>221</v>
      </c>
    </row>
    <row r="2" customFormat="false" ht="43.25" hidden="false" customHeight="false" outlineLevel="0" collapsed="false">
      <c r="A2" s="5" t="n">
        <v>1</v>
      </c>
      <c r="B2" s="5" t="s">
        <v>223</v>
      </c>
      <c r="C2" s="5" t="s">
        <v>18</v>
      </c>
      <c r="D2" s="5" t="s">
        <v>225</v>
      </c>
      <c r="E2" s="5" t="s">
        <v>226</v>
      </c>
      <c r="F2" s="5" t="s">
        <v>10</v>
      </c>
      <c r="G2" s="5" t="s">
        <v>231</v>
      </c>
      <c r="H2" s="5" t="s">
        <v>232</v>
      </c>
      <c r="I2" s="5" t="s">
        <v>233</v>
      </c>
      <c r="J2" s="5" t="s">
        <v>234</v>
      </c>
    </row>
    <row r="3" customFormat="false" ht="32.8" hidden="false" customHeight="false" outlineLevel="0" collapsed="false">
      <c r="A3" s="5" t="n">
        <v>2</v>
      </c>
      <c r="B3" s="5" t="s">
        <v>362</v>
      </c>
      <c r="C3" s="5" t="s">
        <v>18</v>
      </c>
      <c r="D3" s="5" t="s">
        <v>363</v>
      </c>
      <c r="E3" s="5" t="s">
        <v>246</v>
      </c>
      <c r="F3" s="5" t="s">
        <v>10</v>
      </c>
      <c r="G3" s="5" t="s">
        <v>366</v>
      </c>
      <c r="H3" s="5" t="s">
        <v>367</v>
      </c>
      <c r="I3" s="5" t="s">
        <v>368</v>
      </c>
      <c r="J3" s="5" t="s">
        <v>369</v>
      </c>
    </row>
    <row r="4" customFormat="false" ht="32.8" hidden="false" customHeight="false" outlineLevel="0" collapsed="false">
      <c r="A4" s="5" t="n">
        <v>3</v>
      </c>
      <c r="B4" s="5" t="s">
        <v>396</v>
      </c>
      <c r="C4" s="5" t="s">
        <v>18</v>
      </c>
      <c r="D4" s="5" t="s">
        <v>398</v>
      </c>
      <c r="E4" s="5" t="s">
        <v>226</v>
      </c>
      <c r="F4" s="5" t="s">
        <v>10</v>
      </c>
      <c r="G4" s="5" t="s">
        <v>241</v>
      </c>
      <c r="H4" s="5" t="s">
        <v>401</v>
      </c>
      <c r="I4" s="5" t="s">
        <v>402</v>
      </c>
      <c r="J4" s="5" t="s">
        <v>403</v>
      </c>
    </row>
    <row r="5" customFormat="false" ht="15" hidden="false" customHeight="false" outlineLevel="0" collapsed="false">
      <c r="A5" s="5" t="n">
        <v>4</v>
      </c>
      <c r="B5" s="5" t="s">
        <v>663</v>
      </c>
      <c r="C5" s="5" t="s">
        <v>18</v>
      </c>
      <c r="D5" s="5" t="s">
        <v>664</v>
      </c>
      <c r="E5" s="5" t="s">
        <v>226</v>
      </c>
      <c r="F5" s="5" t="s">
        <v>10</v>
      </c>
      <c r="G5" s="5" t="s">
        <v>241</v>
      </c>
      <c r="H5" s="5" t="s">
        <v>667</v>
      </c>
      <c r="I5" s="5" t="s">
        <v>668</v>
      </c>
      <c r="J5" s="5" t="s">
        <v>669</v>
      </c>
    </row>
    <row r="6" customFormat="false" ht="22.35" hidden="false" customHeight="false" outlineLevel="0" collapsed="false">
      <c r="A6" s="5" t="n">
        <v>5</v>
      </c>
      <c r="B6" s="5" t="s">
        <v>671</v>
      </c>
      <c r="C6" s="5" t="s">
        <v>18</v>
      </c>
      <c r="D6" s="5" t="s">
        <v>672</v>
      </c>
      <c r="E6" s="5" t="s">
        <v>246</v>
      </c>
      <c r="F6" s="5" t="s">
        <v>10</v>
      </c>
      <c r="G6" s="5" t="s">
        <v>674</v>
      </c>
      <c r="H6" s="5" t="s">
        <v>675</v>
      </c>
      <c r="I6" s="5" t="s">
        <v>676</v>
      </c>
      <c r="J6" s="5" t="s">
        <v>677</v>
      </c>
    </row>
    <row r="7" customFormat="false" ht="32.8" hidden="false" customHeight="false" outlineLevel="0" collapsed="false">
      <c r="A7" s="5" t="n">
        <v>6</v>
      </c>
      <c r="B7" s="5" t="s">
        <v>679</v>
      </c>
      <c r="C7" s="5" t="s">
        <v>19</v>
      </c>
      <c r="D7" s="5" t="s">
        <v>680</v>
      </c>
      <c r="E7" s="5" t="s">
        <v>681</v>
      </c>
      <c r="F7" s="5" t="s">
        <v>10</v>
      </c>
      <c r="G7" s="5" t="s">
        <v>241</v>
      </c>
      <c r="H7" s="5" t="s">
        <v>684</v>
      </c>
      <c r="I7" s="5" t="s">
        <v>685</v>
      </c>
      <c r="J7" s="5" t="s">
        <v>669</v>
      </c>
    </row>
    <row r="8" customFormat="false" ht="22.35" hidden="false" customHeight="false" outlineLevel="0" collapsed="false">
      <c r="A8" s="5" t="n">
        <v>7</v>
      </c>
      <c r="B8" s="5" t="s">
        <v>754</v>
      </c>
      <c r="C8" s="5" t="s">
        <v>20</v>
      </c>
      <c r="D8" s="5" t="s">
        <v>755</v>
      </c>
      <c r="E8" s="5" t="s">
        <v>681</v>
      </c>
      <c r="F8" s="5" t="s">
        <v>13</v>
      </c>
      <c r="G8" s="5" t="s">
        <v>241</v>
      </c>
      <c r="H8" s="5" t="s">
        <v>758</v>
      </c>
      <c r="I8" s="5" t="s">
        <v>759</v>
      </c>
      <c r="J8" s="5" t="s">
        <v>760</v>
      </c>
    </row>
    <row r="9" customFormat="false" ht="22.35" hidden="false" customHeight="false" outlineLevel="0" collapsed="false">
      <c r="A9" s="5" t="n">
        <v>8</v>
      </c>
      <c r="B9" s="5" t="s">
        <v>830</v>
      </c>
      <c r="C9" s="5" t="s">
        <v>21</v>
      </c>
      <c r="D9" s="5" t="s">
        <v>831</v>
      </c>
      <c r="E9" s="5" t="s">
        <v>681</v>
      </c>
      <c r="F9" s="5" t="s">
        <v>10</v>
      </c>
      <c r="G9" s="5" t="s">
        <v>241</v>
      </c>
      <c r="H9" s="5" t="s">
        <v>834</v>
      </c>
      <c r="I9" s="5" t="s">
        <v>835</v>
      </c>
      <c r="J9" s="5" t="s">
        <v>836</v>
      </c>
    </row>
    <row r="10" customFormat="false" ht="32.8" hidden="false" customHeight="false" outlineLevel="0" collapsed="false">
      <c r="A10" s="5" t="n">
        <v>9</v>
      </c>
      <c r="B10" s="5" t="s">
        <v>838</v>
      </c>
      <c r="C10" s="5" t="s">
        <v>21</v>
      </c>
      <c r="D10" s="5" t="s">
        <v>840</v>
      </c>
      <c r="E10" s="5" t="s">
        <v>681</v>
      </c>
      <c r="F10" s="5" t="s">
        <v>10</v>
      </c>
      <c r="G10" s="5" t="s">
        <v>241</v>
      </c>
      <c r="H10" s="5" t="s">
        <v>843</v>
      </c>
      <c r="I10" s="5" t="s">
        <v>844</v>
      </c>
      <c r="J10" s="5" t="s">
        <v>845</v>
      </c>
    </row>
    <row r="11" customFormat="false" ht="43.25" hidden="false" customHeight="false" outlineLevel="0" collapsed="false">
      <c r="A11" s="5" t="n">
        <v>10</v>
      </c>
      <c r="B11" s="5" t="s">
        <v>902</v>
      </c>
      <c r="C11" s="5" t="s">
        <v>23</v>
      </c>
      <c r="D11" s="5" t="s">
        <v>903</v>
      </c>
      <c r="E11" s="5" t="s">
        <v>681</v>
      </c>
      <c r="F11" s="5" t="s">
        <v>10</v>
      </c>
      <c r="G11" s="5" t="s">
        <v>905</v>
      </c>
      <c r="H11" s="5" t="s">
        <v>906</v>
      </c>
      <c r="I11" s="5" t="s">
        <v>907</v>
      </c>
      <c r="J11" s="5" t="s">
        <v>669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45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4" t="s">
        <v>32</v>
      </c>
      <c r="B1" s="4" t="s">
        <v>209</v>
      </c>
      <c r="C1" s="4" t="s">
        <v>16</v>
      </c>
      <c r="D1" s="4" t="s">
        <v>211</v>
      </c>
      <c r="E1" s="4" t="s">
        <v>212</v>
      </c>
      <c r="F1" s="4" t="s">
        <v>216</v>
      </c>
      <c r="G1" s="4" t="s">
        <v>218</v>
      </c>
      <c r="H1" s="4" t="s">
        <v>1099</v>
      </c>
      <c r="I1" s="4" t="s">
        <v>220</v>
      </c>
      <c r="J1" s="4" t="s">
        <v>221</v>
      </c>
    </row>
    <row r="2" customFormat="false" ht="53.7" hidden="false" customHeight="false" outlineLevel="0" collapsed="false">
      <c r="A2" s="5" t="n">
        <v>1</v>
      </c>
      <c r="B2" s="5" t="s">
        <v>1078</v>
      </c>
      <c r="C2" s="5" t="s">
        <v>25</v>
      </c>
      <c r="D2" s="5" t="s">
        <v>1079</v>
      </c>
      <c r="E2" s="5" t="s">
        <v>681</v>
      </c>
      <c r="F2" s="5" t="s">
        <v>12</v>
      </c>
      <c r="G2" s="5" t="s">
        <v>43</v>
      </c>
      <c r="H2" s="5" t="s">
        <v>1080</v>
      </c>
      <c r="I2" s="5" t="s">
        <v>1081</v>
      </c>
      <c r="J2" s="5" t="s">
        <v>1082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70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4" t="s">
        <v>209</v>
      </c>
      <c r="B1" s="4" t="s">
        <v>211</v>
      </c>
      <c r="C1" s="4" t="s">
        <v>216</v>
      </c>
      <c r="D1" s="4" t="s">
        <v>35</v>
      </c>
      <c r="E1" s="4" t="s">
        <v>1100</v>
      </c>
      <c r="F1" s="4" t="s">
        <v>1101</v>
      </c>
    </row>
    <row r="2" customFormat="false" ht="32.8" hidden="false" customHeight="false" outlineLevel="0" collapsed="false">
      <c r="A2" s="5" t="s">
        <v>223</v>
      </c>
      <c r="B2" s="5" t="s">
        <v>225</v>
      </c>
      <c r="C2" s="5" t="s">
        <v>10</v>
      </c>
      <c r="D2" s="16" t="s">
        <v>11</v>
      </c>
      <c r="E2" s="5" t="s">
        <v>232</v>
      </c>
      <c r="F2" s="5" t="s">
        <v>1102</v>
      </c>
    </row>
    <row r="3" customFormat="false" ht="22.35" hidden="false" customHeight="false" outlineLevel="0" collapsed="false">
      <c r="A3" s="5" t="s">
        <v>265</v>
      </c>
      <c r="B3" s="5" t="s">
        <v>267</v>
      </c>
      <c r="C3" s="5" t="s">
        <v>9</v>
      </c>
      <c r="D3" s="15" t="s">
        <v>9</v>
      </c>
      <c r="E3" s="5" t="s">
        <v>270</v>
      </c>
      <c r="F3" s="5" t="s">
        <v>43</v>
      </c>
    </row>
    <row r="4" customFormat="false" ht="53.7" hidden="false" customHeight="false" outlineLevel="0" collapsed="false">
      <c r="A4" s="5" t="s">
        <v>271</v>
      </c>
      <c r="B4" s="5" t="s">
        <v>272</v>
      </c>
      <c r="C4" s="5" t="s">
        <v>10</v>
      </c>
      <c r="D4" s="15" t="s">
        <v>9</v>
      </c>
      <c r="E4" s="5" t="s">
        <v>277</v>
      </c>
      <c r="F4" s="5" t="s">
        <v>1103</v>
      </c>
    </row>
    <row r="5" customFormat="false" ht="32.8" hidden="false" customHeight="false" outlineLevel="0" collapsed="false">
      <c r="A5" s="5" t="s">
        <v>309</v>
      </c>
      <c r="B5" s="5" t="s">
        <v>310</v>
      </c>
      <c r="C5" s="5" t="s">
        <v>10</v>
      </c>
      <c r="D5" s="15" t="s">
        <v>9</v>
      </c>
      <c r="E5" s="5" t="s">
        <v>314</v>
      </c>
      <c r="F5" s="5" t="s">
        <v>1104</v>
      </c>
    </row>
    <row r="6" customFormat="false" ht="22.35" hidden="false" customHeight="false" outlineLevel="0" collapsed="false">
      <c r="A6" s="5" t="s">
        <v>362</v>
      </c>
      <c r="B6" s="5" t="s">
        <v>363</v>
      </c>
      <c r="C6" s="5" t="s">
        <v>10</v>
      </c>
      <c r="D6" s="16" t="s">
        <v>11</v>
      </c>
      <c r="E6" s="5" t="s">
        <v>367</v>
      </c>
      <c r="F6" s="5" t="s">
        <v>1105</v>
      </c>
    </row>
    <row r="7" customFormat="false" ht="32.8" hidden="false" customHeight="false" outlineLevel="0" collapsed="false">
      <c r="A7" s="5" t="s">
        <v>387</v>
      </c>
      <c r="B7" s="5" t="s">
        <v>388</v>
      </c>
      <c r="C7" s="5" t="s">
        <v>10</v>
      </c>
      <c r="D7" s="17" t="s">
        <v>10</v>
      </c>
      <c r="E7" s="5" t="s">
        <v>393</v>
      </c>
      <c r="F7" s="5" t="s">
        <v>1106</v>
      </c>
    </row>
    <row r="8" customFormat="false" ht="22.35" hidden="false" customHeight="false" outlineLevel="0" collapsed="false">
      <c r="A8" s="5" t="s">
        <v>396</v>
      </c>
      <c r="B8" s="5" t="s">
        <v>398</v>
      </c>
      <c r="C8" s="5" t="s">
        <v>10</v>
      </c>
      <c r="D8" s="16" t="s">
        <v>11</v>
      </c>
      <c r="E8" s="5" t="s">
        <v>401</v>
      </c>
      <c r="F8" s="5" t="s">
        <v>1105</v>
      </c>
    </row>
    <row r="9" customFormat="false" ht="22.35" hidden="false" customHeight="false" outlineLevel="0" collapsed="false">
      <c r="A9" s="5" t="s">
        <v>426</v>
      </c>
      <c r="B9" s="5" t="s">
        <v>427</v>
      </c>
      <c r="C9" s="5" t="s">
        <v>10</v>
      </c>
      <c r="D9" s="15" t="s">
        <v>9</v>
      </c>
      <c r="E9" s="5" t="s">
        <v>431</v>
      </c>
      <c r="F9" s="5" t="s">
        <v>1107</v>
      </c>
    </row>
    <row r="10" customFormat="false" ht="32.8" hidden="false" customHeight="false" outlineLevel="0" collapsed="false">
      <c r="A10" s="5" t="s">
        <v>541</v>
      </c>
      <c r="B10" s="5" t="s">
        <v>542</v>
      </c>
      <c r="C10" s="5" t="s">
        <v>10</v>
      </c>
      <c r="D10" s="15" t="s">
        <v>9</v>
      </c>
      <c r="E10" s="5" t="s">
        <v>546</v>
      </c>
      <c r="F10" s="5" t="s">
        <v>1108</v>
      </c>
    </row>
    <row r="11" customFormat="false" ht="43.25" hidden="false" customHeight="false" outlineLevel="0" collapsed="false">
      <c r="A11" s="5" t="s">
        <v>111</v>
      </c>
      <c r="B11" s="5" t="s">
        <v>656</v>
      </c>
      <c r="C11" s="5" t="s">
        <v>10</v>
      </c>
      <c r="D11" s="15" t="s">
        <v>9</v>
      </c>
      <c r="E11" s="5" t="s">
        <v>660</v>
      </c>
      <c r="F11" s="5" t="s">
        <v>1109</v>
      </c>
    </row>
    <row r="12" customFormat="false" ht="15" hidden="false" customHeight="false" outlineLevel="0" collapsed="false">
      <c r="A12" s="5" t="s">
        <v>663</v>
      </c>
      <c r="B12" s="5" t="s">
        <v>664</v>
      </c>
      <c r="C12" s="5" t="s">
        <v>10</v>
      </c>
      <c r="D12" s="16" t="s">
        <v>11</v>
      </c>
      <c r="E12" s="5" t="s">
        <v>667</v>
      </c>
      <c r="F12" s="5" t="s">
        <v>1105</v>
      </c>
    </row>
    <row r="13" customFormat="false" ht="22.35" hidden="false" customHeight="false" outlineLevel="0" collapsed="false">
      <c r="A13" s="5" t="s">
        <v>671</v>
      </c>
      <c r="B13" s="5" t="s">
        <v>672</v>
      </c>
      <c r="C13" s="5" t="s">
        <v>10</v>
      </c>
      <c r="D13" s="16" t="s">
        <v>11</v>
      </c>
      <c r="E13" s="5" t="s">
        <v>675</v>
      </c>
      <c r="F13" s="5" t="s">
        <v>1105</v>
      </c>
    </row>
    <row r="14" customFormat="false" ht="22.35" hidden="false" customHeight="false" outlineLevel="0" collapsed="false">
      <c r="A14" s="5" t="s">
        <v>679</v>
      </c>
      <c r="B14" s="5" t="s">
        <v>680</v>
      </c>
      <c r="C14" s="5" t="s">
        <v>10</v>
      </c>
      <c r="D14" s="16" t="s">
        <v>11</v>
      </c>
      <c r="E14" s="5" t="s">
        <v>684</v>
      </c>
      <c r="F14" s="5" t="s">
        <v>1105</v>
      </c>
    </row>
    <row r="15" customFormat="false" ht="43.25" hidden="false" customHeight="false" outlineLevel="0" collapsed="false">
      <c r="A15" s="5" t="s">
        <v>725</v>
      </c>
      <c r="B15" s="5" t="s">
        <v>727</v>
      </c>
      <c r="C15" s="5" t="s">
        <v>10</v>
      </c>
      <c r="D15" s="15" t="s">
        <v>9</v>
      </c>
      <c r="E15" s="5" t="s">
        <v>730</v>
      </c>
      <c r="F15" s="5" t="s">
        <v>1110</v>
      </c>
    </row>
    <row r="16" customFormat="false" ht="22.35" hidden="false" customHeight="false" outlineLevel="0" collapsed="false">
      <c r="A16" s="5" t="s">
        <v>754</v>
      </c>
      <c r="B16" s="5" t="s">
        <v>755</v>
      </c>
      <c r="C16" s="5" t="s">
        <v>13</v>
      </c>
      <c r="D16" s="16" t="s">
        <v>11</v>
      </c>
      <c r="E16" s="5" t="s">
        <v>758</v>
      </c>
      <c r="F16" s="5" t="s">
        <v>1105</v>
      </c>
    </row>
    <row r="17" customFormat="false" ht="43.25" hidden="false" customHeight="false" outlineLevel="0" collapsed="false">
      <c r="A17" s="5" t="s">
        <v>807</v>
      </c>
      <c r="B17" s="5" t="s">
        <v>808</v>
      </c>
      <c r="C17" s="5" t="s">
        <v>10</v>
      </c>
      <c r="D17" s="17" t="s">
        <v>10</v>
      </c>
      <c r="E17" s="5" t="s">
        <v>812</v>
      </c>
      <c r="F17" s="5" t="s">
        <v>1111</v>
      </c>
    </row>
    <row r="18" customFormat="false" ht="43.25" hidden="false" customHeight="false" outlineLevel="0" collapsed="false">
      <c r="A18" s="5" t="s">
        <v>815</v>
      </c>
      <c r="B18" s="5" t="s">
        <v>816</v>
      </c>
      <c r="C18" s="5" t="s">
        <v>10</v>
      </c>
      <c r="D18" s="15" t="s">
        <v>9</v>
      </c>
      <c r="E18" s="5" t="s">
        <v>820</v>
      </c>
      <c r="F18" s="5" t="s">
        <v>1111</v>
      </c>
    </row>
    <row r="19" customFormat="false" ht="32.8" hidden="false" customHeight="false" outlineLevel="0" collapsed="false">
      <c r="A19" s="5" t="s">
        <v>823</v>
      </c>
      <c r="B19" s="5" t="s">
        <v>824</v>
      </c>
      <c r="C19" s="5" t="s">
        <v>10</v>
      </c>
      <c r="D19" s="17" t="s">
        <v>10</v>
      </c>
      <c r="E19" s="5" t="s">
        <v>827</v>
      </c>
      <c r="F19" s="5" t="s">
        <v>1111</v>
      </c>
    </row>
    <row r="20" customFormat="false" ht="22.35" hidden="false" customHeight="false" outlineLevel="0" collapsed="false">
      <c r="A20" s="5" t="s">
        <v>830</v>
      </c>
      <c r="B20" s="5" t="s">
        <v>831</v>
      </c>
      <c r="C20" s="5" t="s">
        <v>10</v>
      </c>
      <c r="D20" s="16" t="s">
        <v>11</v>
      </c>
      <c r="E20" s="5" t="s">
        <v>834</v>
      </c>
      <c r="F20" s="5" t="s">
        <v>1105</v>
      </c>
    </row>
    <row r="21" customFormat="false" ht="32.8" hidden="false" customHeight="false" outlineLevel="0" collapsed="false">
      <c r="A21" s="5" t="s">
        <v>838</v>
      </c>
      <c r="B21" s="5" t="s">
        <v>840</v>
      </c>
      <c r="C21" s="5" t="s">
        <v>10</v>
      </c>
      <c r="D21" s="16" t="s">
        <v>11</v>
      </c>
      <c r="E21" s="5" t="s">
        <v>843</v>
      </c>
      <c r="F21" s="5" t="s">
        <v>1105</v>
      </c>
    </row>
    <row r="22" customFormat="false" ht="22.35" hidden="false" customHeight="false" outlineLevel="0" collapsed="false">
      <c r="A22" s="5" t="s">
        <v>863</v>
      </c>
      <c r="B22" s="5" t="s">
        <v>864</v>
      </c>
      <c r="C22" s="5" t="s">
        <v>10</v>
      </c>
      <c r="D22" s="17" t="s">
        <v>10</v>
      </c>
      <c r="E22" s="5" t="s">
        <v>867</v>
      </c>
      <c r="F22" s="5" t="s">
        <v>1112</v>
      </c>
    </row>
    <row r="23" customFormat="false" ht="32.8" hidden="false" customHeight="false" outlineLevel="0" collapsed="false">
      <c r="A23" s="5" t="s">
        <v>889</v>
      </c>
      <c r="B23" s="5" t="s">
        <v>890</v>
      </c>
      <c r="C23" s="5" t="s">
        <v>10</v>
      </c>
      <c r="D23" s="15" t="s">
        <v>9</v>
      </c>
      <c r="E23" s="5" t="s">
        <v>893</v>
      </c>
      <c r="F23" s="5" t="s">
        <v>1113</v>
      </c>
    </row>
    <row r="24" customFormat="false" ht="22.35" hidden="false" customHeight="false" outlineLevel="0" collapsed="false">
      <c r="A24" s="5" t="s">
        <v>896</v>
      </c>
      <c r="B24" s="5" t="s">
        <v>897</v>
      </c>
      <c r="C24" s="5" t="s">
        <v>10</v>
      </c>
      <c r="D24" s="15" t="s">
        <v>9</v>
      </c>
      <c r="E24" s="5" t="s">
        <v>900</v>
      </c>
      <c r="F24" s="5" t="s">
        <v>1114</v>
      </c>
    </row>
    <row r="25" customFormat="false" ht="32.8" hidden="false" customHeight="false" outlineLevel="0" collapsed="false">
      <c r="A25" s="5" t="s">
        <v>902</v>
      </c>
      <c r="B25" s="5" t="s">
        <v>903</v>
      </c>
      <c r="C25" s="5" t="s">
        <v>10</v>
      </c>
      <c r="D25" s="16" t="s">
        <v>11</v>
      </c>
      <c r="E25" s="5" t="s">
        <v>906</v>
      </c>
      <c r="F25" s="5" t="s">
        <v>1115</v>
      </c>
    </row>
    <row r="26" customFormat="false" ht="22.35" hidden="false" customHeight="false" outlineLevel="0" collapsed="false">
      <c r="A26" s="5" t="s">
        <v>946</v>
      </c>
      <c r="B26" s="5" t="s">
        <v>947</v>
      </c>
      <c r="C26" s="5" t="s">
        <v>10</v>
      </c>
      <c r="D26" s="15" t="s">
        <v>9</v>
      </c>
      <c r="E26" s="5" t="s">
        <v>949</v>
      </c>
      <c r="F26" s="5" t="s">
        <v>1116</v>
      </c>
    </row>
    <row r="27" customFormat="false" ht="32.8" hidden="false" customHeight="false" outlineLevel="0" collapsed="false">
      <c r="A27" s="5" t="s">
        <v>1078</v>
      </c>
      <c r="B27" s="5" t="s">
        <v>1079</v>
      </c>
      <c r="C27" s="5" t="s">
        <v>12</v>
      </c>
      <c r="D27" s="20" t="s">
        <v>12</v>
      </c>
      <c r="E27" s="5" t="s">
        <v>1080</v>
      </c>
      <c r="F27" s="5" t="s">
        <v>43</v>
      </c>
    </row>
    <row r="28" customFormat="false" ht="22.35" hidden="false" customHeight="false" outlineLevel="0" collapsed="false">
      <c r="A28" s="5" t="s">
        <v>1084</v>
      </c>
      <c r="B28" s="5" t="s">
        <v>1085</v>
      </c>
      <c r="C28" s="5" t="s">
        <v>9</v>
      </c>
      <c r="D28" s="15" t="s">
        <v>9</v>
      </c>
      <c r="E28" s="5" t="s">
        <v>1117</v>
      </c>
      <c r="F28" s="5" t="s">
        <v>43</v>
      </c>
    </row>
    <row r="29" customFormat="false" ht="43.25" hidden="false" customHeight="false" outlineLevel="0" collapsed="false">
      <c r="A29" s="5" t="s">
        <v>1093</v>
      </c>
      <c r="B29" s="5" t="s">
        <v>1094</v>
      </c>
      <c r="C29" s="5" t="s">
        <v>43</v>
      </c>
      <c r="D29" s="15" t="s">
        <v>9</v>
      </c>
      <c r="E29" s="5" t="s">
        <v>1097</v>
      </c>
      <c r="F29" s="5" t="s">
        <v>1118</v>
      </c>
    </row>
    <row r="30" customFormat="false" ht="22.35" hidden="false" customHeight="false" outlineLevel="0" collapsed="false">
      <c r="A30" s="5" t="s">
        <v>43</v>
      </c>
      <c r="B30" s="5" t="s">
        <v>1119</v>
      </c>
      <c r="C30" s="5" t="s">
        <v>43</v>
      </c>
      <c r="D30" s="5" t="s">
        <v>43</v>
      </c>
      <c r="E30" s="5" t="s">
        <v>1120</v>
      </c>
      <c r="F30" s="5" t="s">
        <v>5</v>
      </c>
    </row>
    <row r="31" customFormat="false" ht="22.35" hidden="false" customHeight="false" outlineLevel="0" collapsed="false">
      <c r="A31" s="5" t="s">
        <v>43</v>
      </c>
      <c r="B31" s="5" t="s">
        <v>1121</v>
      </c>
      <c r="C31" s="5" t="s">
        <v>43</v>
      </c>
      <c r="D31" s="5" t="s">
        <v>43</v>
      </c>
      <c r="E31" s="5" t="s">
        <v>1122</v>
      </c>
      <c r="F31" s="5" t="s">
        <v>5</v>
      </c>
    </row>
    <row r="32" customFormat="false" ht="22.35" hidden="false" customHeight="false" outlineLevel="0" collapsed="false">
      <c r="A32" s="5" t="s">
        <v>43</v>
      </c>
      <c r="B32" s="5" t="s">
        <v>1123</v>
      </c>
      <c r="C32" s="5" t="s">
        <v>43</v>
      </c>
      <c r="D32" s="5" t="s">
        <v>43</v>
      </c>
      <c r="E32" s="5" t="s">
        <v>1124</v>
      </c>
      <c r="F32" s="5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4" t="s">
        <v>1126</v>
      </c>
      <c r="B1" s="4" t="s">
        <v>1127</v>
      </c>
      <c r="C1" s="4" t="s">
        <v>1128</v>
      </c>
      <c r="D1" s="4" t="s">
        <v>1129</v>
      </c>
      <c r="E1" s="4" t="s">
        <v>1130</v>
      </c>
    </row>
    <row r="2" customFormat="false" ht="22.35" hidden="false" customHeight="false" outlineLevel="0" collapsed="false">
      <c r="A2" s="5" t="s">
        <v>1131</v>
      </c>
      <c r="B2" s="5" t="s">
        <v>1132</v>
      </c>
      <c r="C2" s="5" t="s">
        <v>1133</v>
      </c>
      <c r="D2" s="5" t="s">
        <v>1134</v>
      </c>
      <c r="E2" s="5" t="s">
        <v>1135</v>
      </c>
    </row>
    <row r="3" customFormat="false" ht="15" hidden="false" customHeight="false" outlineLevel="0" collapsed="false">
      <c r="A3" s="5" t="s">
        <v>1136</v>
      </c>
      <c r="B3" s="5" t="s">
        <v>1137</v>
      </c>
      <c r="C3" s="5" t="s">
        <v>1138</v>
      </c>
      <c r="D3" s="5" t="s">
        <v>1139</v>
      </c>
      <c r="E3" s="5" t="s">
        <v>1140</v>
      </c>
    </row>
    <row r="4" customFormat="false" ht="15" hidden="false" customHeight="false" outlineLevel="0" collapsed="false">
      <c r="A4" s="5" t="s">
        <v>1131</v>
      </c>
      <c r="B4" s="5" t="s">
        <v>1141</v>
      </c>
      <c r="C4" s="5" t="s">
        <v>1142</v>
      </c>
      <c r="D4" s="5" t="s">
        <v>1143</v>
      </c>
      <c r="E4" s="5" t="s">
        <v>1140</v>
      </c>
    </row>
    <row r="5" customFormat="false" ht="22.35" hidden="false" customHeight="false" outlineLevel="0" collapsed="false">
      <c r="A5" s="5" t="s">
        <v>1131</v>
      </c>
      <c r="B5" s="5" t="s">
        <v>1144</v>
      </c>
      <c r="C5" s="5" t="s">
        <v>1145</v>
      </c>
      <c r="D5" s="5" t="s">
        <v>754</v>
      </c>
      <c r="E5" s="5" t="s">
        <v>1140</v>
      </c>
    </row>
    <row r="6" customFormat="false" ht="22.35" hidden="false" customHeight="false" outlineLevel="0" collapsed="false">
      <c r="A6" s="5" t="s">
        <v>1131</v>
      </c>
      <c r="B6" s="5" t="s">
        <v>1146</v>
      </c>
      <c r="C6" s="5" t="s">
        <v>1147</v>
      </c>
      <c r="D6" s="5" t="s">
        <v>838</v>
      </c>
      <c r="E6" s="5" t="s">
        <v>1140</v>
      </c>
    </row>
    <row r="7" customFormat="false" ht="22.35" hidden="false" customHeight="false" outlineLevel="0" collapsed="false">
      <c r="A7" s="5" t="s">
        <v>1131</v>
      </c>
      <c r="B7" s="5" t="s">
        <v>1148</v>
      </c>
      <c r="C7" s="5" t="s">
        <v>1149</v>
      </c>
      <c r="D7" s="5" t="s">
        <v>1150</v>
      </c>
      <c r="E7" s="5" t="s">
        <v>1140</v>
      </c>
    </row>
    <row r="8" customFormat="false" ht="22.35" hidden="false" customHeight="false" outlineLevel="0" collapsed="false">
      <c r="A8" s="5" t="s">
        <v>1131</v>
      </c>
      <c r="B8" s="5" t="s">
        <v>1151</v>
      </c>
      <c r="C8" s="5" t="s">
        <v>1152</v>
      </c>
      <c r="D8" s="5" t="s">
        <v>1153</v>
      </c>
      <c r="E8" s="5" t="s">
        <v>1154</v>
      </c>
    </row>
    <row r="9" customFormat="false" ht="22.35" hidden="false" customHeight="false" outlineLevel="0" collapsed="false">
      <c r="A9" s="5" t="s">
        <v>1131</v>
      </c>
      <c r="B9" s="5" t="s">
        <v>1155</v>
      </c>
      <c r="C9" s="5" t="s">
        <v>1156</v>
      </c>
      <c r="D9" s="5" t="s">
        <v>1157</v>
      </c>
      <c r="E9" s="5" t="s">
        <v>1140</v>
      </c>
    </row>
    <row r="10" customFormat="false" ht="22.35" hidden="false" customHeight="false" outlineLevel="0" collapsed="false">
      <c r="A10" s="5" t="s">
        <v>1158</v>
      </c>
      <c r="B10" s="5" t="s">
        <v>1159</v>
      </c>
      <c r="C10" s="5" t="s">
        <v>1160</v>
      </c>
      <c r="D10" s="5" t="s">
        <v>1161</v>
      </c>
      <c r="E10" s="5" t="s">
        <v>1140</v>
      </c>
    </row>
    <row r="11" customFormat="false" ht="22.35" hidden="false" customHeight="false" outlineLevel="0" collapsed="false">
      <c r="A11" s="5" t="s">
        <v>1162</v>
      </c>
      <c r="B11" s="5" t="s">
        <v>1163</v>
      </c>
      <c r="C11" s="5" t="s">
        <v>1164</v>
      </c>
      <c r="D11" s="5" t="s">
        <v>1165</v>
      </c>
      <c r="E11" s="5" t="s">
        <v>1140</v>
      </c>
    </row>
    <row r="12" customFormat="false" ht="22.35" hidden="false" customHeight="false" outlineLevel="0" collapsed="false">
      <c r="A12" s="5" t="s">
        <v>1166</v>
      </c>
      <c r="B12" s="5" t="s">
        <v>1167</v>
      </c>
      <c r="C12" s="5" t="s">
        <v>1168</v>
      </c>
      <c r="D12" s="5" t="s">
        <v>1169</v>
      </c>
      <c r="E12" s="5" t="s">
        <v>1170</v>
      </c>
    </row>
    <row r="13" customFormat="false" ht="32.8" hidden="false" customHeight="false" outlineLevel="0" collapsed="false">
      <c r="A13" s="5" t="s">
        <v>1166</v>
      </c>
      <c r="B13" s="5" t="s">
        <v>1171</v>
      </c>
      <c r="C13" s="5" t="s">
        <v>1172</v>
      </c>
      <c r="D13" s="5" t="s">
        <v>1173</v>
      </c>
      <c r="E13" s="5" t="s">
        <v>1170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2026-10-06T04:08:30Z</dcterms:created>
  <dc:creator>openpyxl</dc:creator>
  <dc:description/>
  <dc:language>en-US</dc:language>
  <cp:lastModifiedBy/>
  <dcterms:modified xsi:type="dcterms:W3CDTF">2026-10-06T04:08:30Z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