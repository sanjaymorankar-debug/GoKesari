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uns" sheetId="2" state="visible" r:id="rId2"/>
    <sheet xmlns:r="http://schemas.openxmlformats.org/officeDocument/2006/relationships" name="Results (detail)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Not run &amp; gaps" sheetId="5" state="visible" r:id="rId5"/>
    <sheet xmlns:r="http://schemas.openxmlformats.org/officeDocument/2006/relationships" name="791-case plan" sheetId="6" state="visible" r:id="rId6"/>
  </sheets>
  <definedNames>
    <definedName name="_xlnm._FilterDatabase" localSheetId="1" hidden="1">'Test Runs'!$A$1:$S$23</definedName>
    <definedName name="_xlnm._FilterDatabase" localSheetId="2" hidden="1">'Results (detail)'!$A$1:$I$311</definedName>
    <definedName name="_xlnm._FilterDatabase" localSheetId="3" hidden="1">'Defects'!$A$1:$G$24</definedName>
    <definedName name="_xlnm._FilterDatabase" localSheetId="4" hidden="1">'Not run &amp; gaps'!$A$1:$D$14</definedName>
    <definedName name="_xlnm._FilterDatabase" localSheetId="5" hidden="1">'791-case plan'!$A$1:$G$30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FFFFFFFF"/>
      <sz val="10"/>
    </font>
    <font>
      <sz val="9"/>
    </font>
    <font>
      <b val="1"/>
      <sz val="9"/>
    </font>
    <font>
      <i val="1"/>
      <color rgb="FF475569"/>
      <sz val="9"/>
    </font>
    <font>
      <b val="1"/>
      <color rgb="FF9A3412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C9450C"/>
        <bgColor rgb="FFC9450C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5">
    <dxf>
      <font>
        <b val="1"/>
        <color rgb="FF065F46"/>
      </font>
      <fill>
        <patternFill patternType="solid">
          <fgColor rgb="FFD1FAE5"/>
          <bgColor rgb="FFD1FAE5"/>
        </patternFill>
      </fill>
    </dxf>
    <dxf>
      <font>
        <b val="1"/>
        <color rgb="FF92400E"/>
      </font>
      <fill>
        <patternFill patternType="solid">
          <fgColor rgb="FFFEF3C7"/>
          <bgColor rgb="FFFEF3C7"/>
        </patternFill>
      </fill>
    </dxf>
    <dxf>
      <font>
        <b val="1"/>
        <color rgb="FF991B1B"/>
      </font>
      <fill>
        <patternFill patternType="solid">
          <fgColor rgb="FFFEE2E2"/>
          <bgColor rgb="FFFEE2E2"/>
        </patternFill>
      </fill>
    </dxf>
    <dxf>
      <font>
        <b val="1"/>
        <color rgb="FF374151"/>
      </font>
      <fill>
        <patternFill patternType="solid">
          <fgColor rgb="FFE5E7EB"/>
          <bgColor rgb="FFE5E7EB"/>
        </patternFill>
      </fill>
    </dxf>
    <dxf>
      <font>
        <b val="1"/>
        <color rgb="FF065F46"/>
      </font>
      <fill>
        <patternFill patternType="solid">
          <fgColor rgb="FFECFDF5"/>
          <bgColor rgb="FFECFD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GoKesari - test results tracker</t>
        </is>
      </c>
    </row>
    <row r="2" ht="24" customHeight="1">
      <c r="A2" s="2" t="inlineStr">
        <is>
          <t>As of 14 Oct 2026, 15:00 UTC. Every recorded test run from 22 Sep to 14 Oct 2026: test site (test.gokesari.com), production (gokesari.com) checks, CI / local automated suites and the database-split verifications.</t>
        </is>
      </c>
    </row>
    <row r="3" ht="24" customHeight="1">
      <c r="A3" s="2" t="inlineStr">
        <is>
          <t>'Results (detail)' holds each recorded step or check, read from the TEST_RESULTS files and the UI test workbook. Outcome 'OK (recorded)' = the step was recorded as working but the source did not write PASS.</t>
        </is>
      </c>
    </row>
    <row r="4" ht="24" customHeight="1">
      <c r="A4" s="2" t="inlineStr">
        <is>
          <t>Counts on this sheet are formulas. To add a run: add a row in 'Test Runs' and its checks in 'Results (detail)'.</t>
        </is>
      </c>
    </row>
    <row r="5" ht="24" customHeight="1">
      <c r="A5" s="2" t="inlineStr">
        <is>
          <t>Save in /Users/agtci/Documents/Doc_GoKesari/Test_Cases_Tracking.</t>
        </is>
      </c>
    </row>
    <row r="7">
      <c r="A7" s="3" t="inlineStr">
        <is>
          <t>1. Test runs by overall result</t>
        </is>
      </c>
    </row>
    <row r="8">
      <c r="A8" s="4" t="inlineStr">
        <is>
          <t>Overall result</t>
        </is>
      </c>
      <c r="B8" s="4" t="inlineStr">
        <is>
          <t>Runs</t>
        </is>
      </c>
    </row>
    <row r="9">
      <c r="A9" s="5" t="inlineStr">
        <is>
          <t>PASS</t>
        </is>
      </c>
      <c r="B9" s="6">
        <f>COUNTIF('Test Runs'!$Q$2:$Q$23,A9)</f>
        <v/>
      </c>
    </row>
    <row r="10">
      <c r="A10" s="5" t="inlineStr">
        <is>
          <t>PASS with open items</t>
        </is>
      </c>
      <c r="B10" s="6">
        <f>COUNTIF('Test Runs'!$Q$2:$Q$23,A10)</f>
        <v/>
      </c>
    </row>
    <row r="11">
      <c r="A11" s="5" t="inlineStr">
        <is>
          <t>FAIL</t>
        </is>
      </c>
      <c r="B11" s="6">
        <f>COUNTIF('Test Runs'!$Q$2:$Q$23,A11)</f>
        <v/>
      </c>
    </row>
    <row r="12">
      <c r="A12" s="5" t="inlineStr">
        <is>
          <t>BLOCKED</t>
        </is>
      </c>
      <c r="B12" s="6">
        <f>COUNTIF('Test Runs'!$Q$2:$Q$23,A12)</f>
        <v/>
      </c>
    </row>
    <row r="13">
      <c r="A13" s="5" t="inlineStr">
        <is>
          <t>NOT RUN</t>
        </is>
      </c>
      <c r="B13" s="6">
        <f>COUNTIF('Test Runs'!$Q$2:$Q$23,A13)</f>
        <v/>
      </c>
    </row>
    <row r="14">
      <c r="A14" s="5" t="inlineStr">
        <is>
          <t>Total runs</t>
        </is>
      </c>
      <c r="B14" s="5">
        <f>SUM(B9:B13)</f>
        <v/>
      </c>
    </row>
    <row r="16">
      <c r="A16" s="3" t="inlineStr">
        <is>
          <t>2. Recorded steps and checks by outcome</t>
        </is>
      </c>
    </row>
    <row r="17">
      <c r="A17" s="4" t="inlineStr">
        <is>
          <t>Outcome</t>
        </is>
      </c>
      <c r="B17" s="4" t="inlineStr">
        <is>
          <t>Checks</t>
        </is>
      </c>
      <c r="C17" s="4" t="inlineStr">
        <is>
          <t>% of total</t>
        </is>
      </c>
    </row>
    <row r="18">
      <c r="A18" s="5" t="inlineStr">
        <is>
          <t>PASS</t>
        </is>
      </c>
      <c r="B18" s="6">
        <f>COUNTIF('Results (detail)'!$I$2:$I$311,A18)</f>
        <v/>
      </c>
      <c r="C18" s="7">
        <f>IF($B$24=0,0,B18/$B$24)</f>
        <v/>
      </c>
    </row>
    <row r="19">
      <c r="A19" s="5" t="inlineStr">
        <is>
          <t>OK (recorded)</t>
        </is>
      </c>
      <c r="B19" s="6">
        <f>COUNTIF('Results (detail)'!$I$2:$I$311,A19)</f>
        <v/>
      </c>
      <c r="C19" s="7">
        <f>IF($B$24=0,0,B19/$B$24)</f>
        <v/>
      </c>
    </row>
    <row r="20">
      <c r="A20" s="5" t="inlineStr">
        <is>
          <t>FAIL</t>
        </is>
      </c>
      <c r="B20" s="6">
        <f>COUNTIF('Results (detail)'!$I$2:$I$311,A20)</f>
        <v/>
      </c>
      <c r="C20" s="7">
        <f>IF($B$24=0,0,B20/$B$24)</f>
        <v/>
      </c>
    </row>
    <row r="21">
      <c r="A21" s="5" t="inlineStr">
        <is>
          <t>BLOCKED</t>
        </is>
      </c>
      <c r="B21" s="6">
        <f>COUNTIF('Results (detail)'!$I$2:$I$311,A21)</f>
        <v/>
      </c>
      <c r="C21" s="7">
        <f>IF($B$24=0,0,B21/$B$24)</f>
        <v/>
      </c>
    </row>
    <row r="22">
      <c r="A22" s="5" t="inlineStr">
        <is>
          <t>NOT RUN</t>
        </is>
      </c>
      <c r="B22" s="6">
        <f>COUNTIF('Results (detail)'!$I$2:$I$311,A22)</f>
        <v/>
      </c>
      <c r="C22" s="7">
        <f>IF($B$24=0,0,B22/$B$24)</f>
        <v/>
      </c>
    </row>
    <row r="23">
      <c r="A23" s="5" t="inlineStr">
        <is>
          <t>ISSUE</t>
        </is>
      </c>
      <c r="B23" s="6">
        <f>COUNTIF('Results (detail)'!$I$2:$I$311,A23)</f>
        <v/>
      </c>
      <c r="C23" s="7">
        <f>IF($B$24=0,0,B23/$B$24)</f>
        <v/>
      </c>
    </row>
    <row r="24">
      <c r="A24" s="5" t="inlineStr">
        <is>
          <t>Total recorded checks</t>
        </is>
      </c>
      <c r="B24" s="5">
        <f>SUM(B18:B23)</f>
        <v/>
      </c>
      <c r="C24" s="8">
        <f>SUM(C18:C23)</f>
        <v/>
      </c>
    </row>
    <row r="26">
      <c r="A26" s="3" t="inlineStr">
        <is>
          <t>3. Defects found in testing</t>
        </is>
      </c>
    </row>
    <row r="27">
      <c r="A27" s="4" t="inlineStr">
        <is>
          <t>Status</t>
        </is>
      </c>
      <c r="B27" s="4" t="inlineStr">
        <is>
          <t>Defects</t>
        </is>
      </c>
    </row>
    <row r="28">
      <c r="A28" s="5" t="inlineStr">
        <is>
          <t>Fixed</t>
        </is>
      </c>
      <c r="B28" s="6">
        <f>COUNTIF(Defects!$E$2:$E$24,A28)</f>
        <v/>
      </c>
    </row>
    <row r="29">
      <c r="A29" s="5" t="inlineStr">
        <is>
          <t>Open</t>
        </is>
      </c>
      <c r="B29" s="6">
        <f>COUNTIF(Defects!$E$2:$E$24,A29)</f>
        <v/>
      </c>
    </row>
    <row r="30">
      <c r="A30" s="5" t="inlineStr">
        <is>
          <t>Owner action</t>
        </is>
      </c>
      <c r="B30" s="6">
        <f>COUNTIF(Defects!$E$2:$E$24,A30)</f>
        <v/>
      </c>
    </row>
    <row r="31">
      <c r="A31" s="5" t="inlineStr">
        <is>
          <t>To confirm</t>
        </is>
      </c>
      <c r="B31" s="6">
        <f>COUNTIF(Defects!$E$2:$E$24,A31)</f>
        <v/>
      </c>
    </row>
    <row r="32">
      <c r="A32" s="5" t="inlineStr">
        <is>
          <t>Accepted</t>
        </is>
      </c>
      <c r="B32" s="6">
        <f>COUNTIF(Defects!$E$2:$E$24,A32)</f>
        <v/>
      </c>
    </row>
    <row r="33">
      <c r="A33" s="5" t="inlineStr">
        <is>
          <t>Total</t>
        </is>
      </c>
      <c r="B33" s="5">
        <f>SUM(B28:B32)</f>
        <v/>
      </c>
    </row>
    <row r="35">
      <c r="A35" s="3" t="inlineStr">
        <is>
          <t>4. Per run (declared totals from the run's own report; recorded = rows in 'Results (detail)')</t>
        </is>
      </c>
    </row>
    <row r="36">
      <c r="A36" s="4" t="inlineStr">
        <is>
          <t>Run</t>
        </is>
      </c>
      <c r="B36" s="4" t="inlineStr">
        <is>
          <t>Date</t>
        </is>
      </c>
      <c r="C36" s="4" t="inlineStr">
        <is>
          <t>Declared run</t>
        </is>
      </c>
      <c r="D36" s="4" t="inlineStr">
        <is>
          <t>Declared pass</t>
        </is>
      </c>
      <c r="E36" s="4" t="inlineStr">
        <is>
          <t>Declared fail</t>
        </is>
      </c>
      <c r="F36" s="4" t="inlineStr">
        <is>
          <t>Recorded checks</t>
        </is>
      </c>
      <c r="G36" s="4" t="inlineStr">
        <is>
          <t>Fail (recorded)</t>
        </is>
      </c>
      <c r="H36" s="4" t="inlineStr">
        <is>
          <t>Overall</t>
        </is>
      </c>
    </row>
    <row r="37" ht="27" customHeight="1">
      <c r="A37" s="5">
        <f>'Test Runs'!A2&amp;"  "&amp;'Test Runs'!D2</f>
        <v/>
      </c>
      <c r="B37" s="6">
        <f>'Test Runs'!B2</f>
        <v/>
      </c>
      <c r="C37" s="6">
        <f>IF('Test Runs'!H2="","-",'Test Runs'!H2)</f>
        <v/>
      </c>
      <c r="D37" s="6">
        <f>IF('Test Runs'!I2="","-",'Test Runs'!I2)</f>
        <v/>
      </c>
      <c r="E37" s="6">
        <f>IF('Test Runs'!J2="","-",'Test Runs'!J2)</f>
        <v/>
      </c>
      <c r="F37" s="6">
        <f>'Test Runs'!L2</f>
        <v/>
      </c>
      <c r="G37" s="6">
        <f>'Test Runs'!O2</f>
        <v/>
      </c>
      <c r="H37" s="6">
        <f>'Test Runs'!Q2</f>
        <v/>
      </c>
    </row>
    <row r="38" ht="27" customHeight="1">
      <c r="A38" s="5">
        <f>'Test Runs'!A3&amp;"  "&amp;'Test Runs'!D3</f>
        <v/>
      </c>
      <c r="B38" s="6">
        <f>'Test Runs'!B3</f>
        <v/>
      </c>
      <c r="C38" s="6">
        <f>IF('Test Runs'!H3="","-",'Test Runs'!H3)</f>
        <v/>
      </c>
      <c r="D38" s="6">
        <f>IF('Test Runs'!I3="","-",'Test Runs'!I3)</f>
        <v/>
      </c>
      <c r="E38" s="6">
        <f>IF('Test Runs'!J3="","-",'Test Runs'!J3)</f>
        <v/>
      </c>
      <c r="F38" s="6">
        <f>'Test Runs'!L3</f>
        <v/>
      </c>
      <c r="G38" s="6">
        <f>'Test Runs'!O3</f>
        <v/>
      </c>
      <c r="H38" s="6">
        <f>'Test Runs'!Q3</f>
        <v/>
      </c>
    </row>
    <row r="39" ht="27" customHeight="1">
      <c r="A39" s="5">
        <f>'Test Runs'!A4&amp;"  "&amp;'Test Runs'!D4</f>
        <v/>
      </c>
      <c r="B39" s="6">
        <f>'Test Runs'!B4</f>
        <v/>
      </c>
      <c r="C39" s="6">
        <f>IF('Test Runs'!H4="","-",'Test Runs'!H4)</f>
        <v/>
      </c>
      <c r="D39" s="6">
        <f>IF('Test Runs'!I4="","-",'Test Runs'!I4)</f>
        <v/>
      </c>
      <c r="E39" s="6">
        <f>IF('Test Runs'!J4="","-",'Test Runs'!J4)</f>
        <v/>
      </c>
      <c r="F39" s="6">
        <f>'Test Runs'!L4</f>
        <v/>
      </c>
      <c r="G39" s="6">
        <f>'Test Runs'!O4</f>
        <v/>
      </c>
      <c r="H39" s="6">
        <f>'Test Runs'!Q4</f>
        <v/>
      </c>
    </row>
    <row r="40" ht="27" customHeight="1">
      <c r="A40" s="5">
        <f>'Test Runs'!A5&amp;"  "&amp;'Test Runs'!D5</f>
        <v/>
      </c>
      <c r="B40" s="6">
        <f>'Test Runs'!B5</f>
        <v/>
      </c>
      <c r="C40" s="6">
        <f>IF('Test Runs'!H5="","-",'Test Runs'!H5)</f>
        <v/>
      </c>
      <c r="D40" s="6">
        <f>IF('Test Runs'!I5="","-",'Test Runs'!I5)</f>
        <v/>
      </c>
      <c r="E40" s="6">
        <f>IF('Test Runs'!J5="","-",'Test Runs'!J5)</f>
        <v/>
      </c>
      <c r="F40" s="6">
        <f>'Test Runs'!L5</f>
        <v/>
      </c>
      <c r="G40" s="6">
        <f>'Test Runs'!O5</f>
        <v/>
      </c>
      <c r="H40" s="6">
        <f>'Test Runs'!Q5</f>
        <v/>
      </c>
    </row>
    <row r="41" ht="27" customHeight="1">
      <c r="A41" s="5">
        <f>'Test Runs'!A6&amp;"  "&amp;'Test Runs'!D6</f>
        <v/>
      </c>
      <c r="B41" s="6">
        <f>'Test Runs'!B6</f>
        <v/>
      </c>
      <c r="C41" s="6">
        <f>IF('Test Runs'!H6="","-",'Test Runs'!H6)</f>
        <v/>
      </c>
      <c r="D41" s="6">
        <f>IF('Test Runs'!I6="","-",'Test Runs'!I6)</f>
        <v/>
      </c>
      <c r="E41" s="6">
        <f>IF('Test Runs'!J6="","-",'Test Runs'!J6)</f>
        <v/>
      </c>
      <c r="F41" s="6">
        <f>'Test Runs'!L6</f>
        <v/>
      </c>
      <c r="G41" s="6">
        <f>'Test Runs'!O6</f>
        <v/>
      </c>
      <c r="H41" s="6">
        <f>'Test Runs'!Q6</f>
        <v/>
      </c>
    </row>
    <row r="42" ht="27" customHeight="1">
      <c r="A42" s="5">
        <f>'Test Runs'!A7&amp;"  "&amp;'Test Runs'!D7</f>
        <v/>
      </c>
      <c r="B42" s="6">
        <f>'Test Runs'!B7</f>
        <v/>
      </c>
      <c r="C42" s="6">
        <f>IF('Test Runs'!H7="","-",'Test Runs'!H7)</f>
        <v/>
      </c>
      <c r="D42" s="6">
        <f>IF('Test Runs'!I7="","-",'Test Runs'!I7)</f>
        <v/>
      </c>
      <c r="E42" s="6">
        <f>IF('Test Runs'!J7="","-",'Test Runs'!J7)</f>
        <v/>
      </c>
      <c r="F42" s="6">
        <f>'Test Runs'!L7</f>
        <v/>
      </c>
      <c r="G42" s="6">
        <f>'Test Runs'!O7</f>
        <v/>
      </c>
      <c r="H42" s="6">
        <f>'Test Runs'!Q7</f>
        <v/>
      </c>
    </row>
    <row r="43" ht="27" customHeight="1">
      <c r="A43" s="5">
        <f>'Test Runs'!A8&amp;"  "&amp;'Test Runs'!D8</f>
        <v/>
      </c>
      <c r="B43" s="6">
        <f>'Test Runs'!B8</f>
        <v/>
      </c>
      <c r="C43" s="6">
        <f>IF('Test Runs'!H8="","-",'Test Runs'!H8)</f>
        <v/>
      </c>
      <c r="D43" s="6">
        <f>IF('Test Runs'!I8="","-",'Test Runs'!I8)</f>
        <v/>
      </c>
      <c r="E43" s="6">
        <f>IF('Test Runs'!J8="","-",'Test Runs'!J8)</f>
        <v/>
      </c>
      <c r="F43" s="6">
        <f>'Test Runs'!L8</f>
        <v/>
      </c>
      <c r="G43" s="6">
        <f>'Test Runs'!O8</f>
        <v/>
      </c>
      <c r="H43" s="6">
        <f>'Test Runs'!Q8</f>
        <v/>
      </c>
    </row>
    <row r="44" ht="27" customHeight="1">
      <c r="A44" s="5">
        <f>'Test Runs'!A9&amp;"  "&amp;'Test Runs'!D9</f>
        <v/>
      </c>
      <c r="B44" s="6">
        <f>'Test Runs'!B9</f>
        <v/>
      </c>
      <c r="C44" s="6">
        <f>IF('Test Runs'!H9="","-",'Test Runs'!H9)</f>
        <v/>
      </c>
      <c r="D44" s="6">
        <f>IF('Test Runs'!I9="","-",'Test Runs'!I9)</f>
        <v/>
      </c>
      <c r="E44" s="6">
        <f>IF('Test Runs'!J9="","-",'Test Runs'!J9)</f>
        <v/>
      </c>
      <c r="F44" s="6">
        <f>'Test Runs'!L9</f>
        <v/>
      </c>
      <c r="G44" s="6">
        <f>'Test Runs'!O9</f>
        <v/>
      </c>
      <c r="H44" s="6">
        <f>'Test Runs'!Q9</f>
        <v/>
      </c>
    </row>
    <row r="45" ht="27" customHeight="1">
      <c r="A45" s="5">
        <f>'Test Runs'!A10&amp;"  "&amp;'Test Runs'!D10</f>
        <v/>
      </c>
      <c r="B45" s="6">
        <f>'Test Runs'!B10</f>
        <v/>
      </c>
      <c r="C45" s="6">
        <f>IF('Test Runs'!H10="","-",'Test Runs'!H10)</f>
        <v/>
      </c>
      <c r="D45" s="6">
        <f>IF('Test Runs'!I10="","-",'Test Runs'!I10)</f>
        <v/>
      </c>
      <c r="E45" s="6">
        <f>IF('Test Runs'!J10="","-",'Test Runs'!J10)</f>
        <v/>
      </c>
      <c r="F45" s="6">
        <f>'Test Runs'!L10</f>
        <v/>
      </c>
      <c r="G45" s="6">
        <f>'Test Runs'!O10</f>
        <v/>
      </c>
      <c r="H45" s="6">
        <f>'Test Runs'!Q10</f>
        <v/>
      </c>
    </row>
    <row r="46" ht="27" customHeight="1">
      <c r="A46" s="5">
        <f>'Test Runs'!A11&amp;"  "&amp;'Test Runs'!D11</f>
        <v/>
      </c>
      <c r="B46" s="6">
        <f>'Test Runs'!B11</f>
        <v/>
      </c>
      <c r="C46" s="6">
        <f>IF('Test Runs'!H11="","-",'Test Runs'!H11)</f>
        <v/>
      </c>
      <c r="D46" s="6">
        <f>IF('Test Runs'!I11="","-",'Test Runs'!I11)</f>
        <v/>
      </c>
      <c r="E46" s="6">
        <f>IF('Test Runs'!J11="","-",'Test Runs'!J11)</f>
        <v/>
      </c>
      <c r="F46" s="6">
        <f>'Test Runs'!L11</f>
        <v/>
      </c>
      <c r="G46" s="6">
        <f>'Test Runs'!O11</f>
        <v/>
      </c>
      <c r="H46" s="6">
        <f>'Test Runs'!Q11</f>
        <v/>
      </c>
    </row>
    <row r="47" ht="27" customHeight="1">
      <c r="A47" s="5">
        <f>'Test Runs'!A12&amp;"  "&amp;'Test Runs'!D12</f>
        <v/>
      </c>
      <c r="B47" s="6">
        <f>'Test Runs'!B12</f>
        <v/>
      </c>
      <c r="C47" s="6">
        <f>IF('Test Runs'!H12="","-",'Test Runs'!H12)</f>
        <v/>
      </c>
      <c r="D47" s="6">
        <f>IF('Test Runs'!I12="","-",'Test Runs'!I12)</f>
        <v/>
      </c>
      <c r="E47" s="6">
        <f>IF('Test Runs'!J12="","-",'Test Runs'!J12)</f>
        <v/>
      </c>
      <c r="F47" s="6">
        <f>'Test Runs'!L12</f>
        <v/>
      </c>
      <c r="G47" s="6">
        <f>'Test Runs'!O12</f>
        <v/>
      </c>
      <c r="H47" s="6">
        <f>'Test Runs'!Q12</f>
        <v/>
      </c>
    </row>
    <row r="48" ht="27" customHeight="1">
      <c r="A48" s="5">
        <f>'Test Runs'!A13&amp;"  "&amp;'Test Runs'!D13</f>
        <v/>
      </c>
      <c r="B48" s="6">
        <f>'Test Runs'!B13</f>
        <v/>
      </c>
      <c r="C48" s="6">
        <f>IF('Test Runs'!H13="","-",'Test Runs'!H13)</f>
        <v/>
      </c>
      <c r="D48" s="6">
        <f>IF('Test Runs'!I13="","-",'Test Runs'!I13)</f>
        <v/>
      </c>
      <c r="E48" s="6">
        <f>IF('Test Runs'!J13="","-",'Test Runs'!J13)</f>
        <v/>
      </c>
      <c r="F48" s="6">
        <f>'Test Runs'!L13</f>
        <v/>
      </c>
      <c r="G48" s="6">
        <f>'Test Runs'!O13</f>
        <v/>
      </c>
      <c r="H48" s="6">
        <f>'Test Runs'!Q13</f>
        <v/>
      </c>
    </row>
    <row r="49" ht="27" customHeight="1">
      <c r="A49" s="5">
        <f>'Test Runs'!A14&amp;"  "&amp;'Test Runs'!D14</f>
        <v/>
      </c>
      <c r="B49" s="6">
        <f>'Test Runs'!B14</f>
        <v/>
      </c>
      <c r="C49" s="6">
        <f>IF('Test Runs'!H14="","-",'Test Runs'!H14)</f>
        <v/>
      </c>
      <c r="D49" s="6">
        <f>IF('Test Runs'!I14="","-",'Test Runs'!I14)</f>
        <v/>
      </c>
      <c r="E49" s="6">
        <f>IF('Test Runs'!J14="","-",'Test Runs'!J14)</f>
        <v/>
      </c>
      <c r="F49" s="6">
        <f>'Test Runs'!L14</f>
        <v/>
      </c>
      <c r="G49" s="6">
        <f>'Test Runs'!O14</f>
        <v/>
      </c>
      <c r="H49" s="6">
        <f>'Test Runs'!Q14</f>
        <v/>
      </c>
    </row>
    <row r="50" ht="27" customHeight="1">
      <c r="A50" s="5">
        <f>'Test Runs'!A15&amp;"  "&amp;'Test Runs'!D15</f>
        <v/>
      </c>
      <c r="B50" s="6">
        <f>'Test Runs'!B15</f>
        <v/>
      </c>
      <c r="C50" s="6">
        <f>IF('Test Runs'!H15="","-",'Test Runs'!H15)</f>
        <v/>
      </c>
      <c r="D50" s="6">
        <f>IF('Test Runs'!I15="","-",'Test Runs'!I15)</f>
        <v/>
      </c>
      <c r="E50" s="6">
        <f>IF('Test Runs'!J15="","-",'Test Runs'!J15)</f>
        <v/>
      </c>
      <c r="F50" s="6">
        <f>'Test Runs'!L15</f>
        <v/>
      </c>
      <c r="G50" s="6">
        <f>'Test Runs'!O15</f>
        <v/>
      </c>
      <c r="H50" s="6">
        <f>'Test Runs'!Q15</f>
        <v/>
      </c>
    </row>
    <row r="51" ht="27" customHeight="1">
      <c r="A51" s="5">
        <f>'Test Runs'!A16&amp;"  "&amp;'Test Runs'!D16</f>
        <v/>
      </c>
      <c r="B51" s="6">
        <f>'Test Runs'!B16</f>
        <v/>
      </c>
      <c r="C51" s="6">
        <f>IF('Test Runs'!H16="","-",'Test Runs'!H16)</f>
        <v/>
      </c>
      <c r="D51" s="6">
        <f>IF('Test Runs'!I16="","-",'Test Runs'!I16)</f>
        <v/>
      </c>
      <c r="E51" s="6">
        <f>IF('Test Runs'!J16="","-",'Test Runs'!J16)</f>
        <v/>
      </c>
      <c r="F51" s="6">
        <f>'Test Runs'!L16</f>
        <v/>
      </c>
      <c r="G51" s="6">
        <f>'Test Runs'!O16</f>
        <v/>
      </c>
      <c r="H51" s="6">
        <f>'Test Runs'!Q16</f>
        <v/>
      </c>
    </row>
    <row r="52" ht="27" customHeight="1">
      <c r="A52" s="5">
        <f>'Test Runs'!A17&amp;"  "&amp;'Test Runs'!D17</f>
        <v/>
      </c>
      <c r="B52" s="6">
        <f>'Test Runs'!B17</f>
        <v/>
      </c>
      <c r="C52" s="6">
        <f>IF('Test Runs'!H17="","-",'Test Runs'!H17)</f>
        <v/>
      </c>
      <c r="D52" s="6">
        <f>IF('Test Runs'!I17="","-",'Test Runs'!I17)</f>
        <v/>
      </c>
      <c r="E52" s="6">
        <f>IF('Test Runs'!J17="","-",'Test Runs'!J17)</f>
        <v/>
      </c>
      <c r="F52" s="6">
        <f>'Test Runs'!L17</f>
        <v/>
      </c>
      <c r="G52" s="6">
        <f>'Test Runs'!O17</f>
        <v/>
      </c>
      <c r="H52" s="6">
        <f>'Test Runs'!Q17</f>
        <v/>
      </c>
    </row>
    <row r="53" ht="27" customHeight="1">
      <c r="A53" s="5">
        <f>'Test Runs'!A18&amp;"  "&amp;'Test Runs'!D18</f>
        <v/>
      </c>
      <c r="B53" s="6">
        <f>'Test Runs'!B18</f>
        <v/>
      </c>
      <c r="C53" s="6">
        <f>IF('Test Runs'!H18="","-",'Test Runs'!H18)</f>
        <v/>
      </c>
      <c r="D53" s="6">
        <f>IF('Test Runs'!I18="","-",'Test Runs'!I18)</f>
        <v/>
      </c>
      <c r="E53" s="6">
        <f>IF('Test Runs'!J18="","-",'Test Runs'!J18)</f>
        <v/>
      </c>
      <c r="F53" s="6">
        <f>'Test Runs'!L18</f>
        <v/>
      </c>
      <c r="G53" s="6">
        <f>'Test Runs'!O18</f>
        <v/>
      </c>
      <c r="H53" s="6">
        <f>'Test Runs'!Q18</f>
        <v/>
      </c>
    </row>
    <row r="54" ht="27" customHeight="1">
      <c r="A54" s="5">
        <f>'Test Runs'!A19&amp;"  "&amp;'Test Runs'!D19</f>
        <v/>
      </c>
      <c r="B54" s="6">
        <f>'Test Runs'!B19</f>
        <v/>
      </c>
      <c r="C54" s="6">
        <f>IF('Test Runs'!H19="","-",'Test Runs'!H19)</f>
        <v/>
      </c>
      <c r="D54" s="6">
        <f>IF('Test Runs'!I19="","-",'Test Runs'!I19)</f>
        <v/>
      </c>
      <c r="E54" s="6">
        <f>IF('Test Runs'!J19="","-",'Test Runs'!J19)</f>
        <v/>
      </c>
      <c r="F54" s="6">
        <f>'Test Runs'!L19</f>
        <v/>
      </c>
      <c r="G54" s="6">
        <f>'Test Runs'!O19</f>
        <v/>
      </c>
      <c r="H54" s="6">
        <f>'Test Runs'!Q19</f>
        <v/>
      </c>
    </row>
    <row r="55" ht="27" customHeight="1">
      <c r="A55" s="5">
        <f>'Test Runs'!A20&amp;"  "&amp;'Test Runs'!D20</f>
        <v/>
      </c>
      <c r="B55" s="6">
        <f>'Test Runs'!B20</f>
        <v/>
      </c>
      <c r="C55" s="6">
        <f>IF('Test Runs'!H20="","-",'Test Runs'!H20)</f>
        <v/>
      </c>
      <c r="D55" s="6">
        <f>IF('Test Runs'!I20="","-",'Test Runs'!I20)</f>
        <v/>
      </c>
      <c r="E55" s="6">
        <f>IF('Test Runs'!J20="","-",'Test Runs'!J20)</f>
        <v/>
      </c>
      <c r="F55" s="6">
        <f>'Test Runs'!L20</f>
        <v/>
      </c>
      <c r="G55" s="6">
        <f>'Test Runs'!O20</f>
        <v/>
      </c>
      <c r="H55" s="6">
        <f>'Test Runs'!Q20</f>
        <v/>
      </c>
    </row>
    <row r="56" ht="27" customHeight="1">
      <c r="A56" s="5">
        <f>'Test Runs'!A21&amp;"  "&amp;'Test Runs'!D21</f>
        <v/>
      </c>
      <c r="B56" s="6">
        <f>'Test Runs'!B21</f>
        <v/>
      </c>
      <c r="C56" s="6">
        <f>IF('Test Runs'!H21="","-",'Test Runs'!H21)</f>
        <v/>
      </c>
      <c r="D56" s="6">
        <f>IF('Test Runs'!I21="","-",'Test Runs'!I21)</f>
        <v/>
      </c>
      <c r="E56" s="6">
        <f>IF('Test Runs'!J21="","-",'Test Runs'!J21)</f>
        <v/>
      </c>
      <c r="F56" s="6">
        <f>'Test Runs'!L21</f>
        <v/>
      </c>
      <c r="G56" s="6">
        <f>'Test Runs'!O21</f>
        <v/>
      </c>
      <c r="H56" s="6">
        <f>'Test Runs'!Q21</f>
        <v/>
      </c>
    </row>
    <row r="57" ht="27" customHeight="1">
      <c r="A57" s="5">
        <f>'Test Runs'!A22&amp;"  "&amp;'Test Runs'!D22</f>
        <v/>
      </c>
      <c r="B57" s="6">
        <f>'Test Runs'!B22</f>
        <v/>
      </c>
      <c r="C57" s="6">
        <f>IF('Test Runs'!H22="","-",'Test Runs'!H22)</f>
        <v/>
      </c>
      <c r="D57" s="6">
        <f>IF('Test Runs'!I22="","-",'Test Runs'!I22)</f>
        <v/>
      </c>
      <c r="E57" s="6">
        <f>IF('Test Runs'!J22="","-",'Test Runs'!J22)</f>
        <v/>
      </c>
      <c r="F57" s="6">
        <f>'Test Runs'!L22</f>
        <v/>
      </c>
      <c r="G57" s="6">
        <f>'Test Runs'!O22</f>
        <v/>
      </c>
      <c r="H57" s="6">
        <f>'Test Runs'!Q22</f>
        <v/>
      </c>
    </row>
    <row r="58" ht="27" customHeight="1">
      <c r="A58" s="5">
        <f>'Test Runs'!A23&amp;"  "&amp;'Test Runs'!D23</f>
        <v/>
      </c>
      <c r="B58" s="6">
        <f>'Test Runs'!B23</f>
        <v/>
      </c>
      <c r="C58" s="6">
        <f>IF('Test Runs'!H23="","-",'Test Runs'!H23)</f>
        <v/>
      </c>
      <c r="D58" s="6">
        <f>IF('Test Runs'!I23="","-",'Test Runs'!I23)</f>
        <v/>
      </c>
      <c r="E58" s="6">
        <f>IF('Test Runs'!J23="","-",'Test Runs'!J23)</f>
        <v/>
      </c>
      <c r="F58" s="6">
        <f>'Test Runs'!L23</f>
        <v/>
      </c>
      <c r="G58" s="6">
        <f>'Test Runs'!O23</f>
        <v/>
      </c>
      <c r="H58" s="6">
        <f>'Test Runs'!Q23</f>
        <v/>
      </c>
    </row>
    <row r="60">
      <c r="A60" s="3" t="inlineStr">
        <is>
          <t>5. Headlines (14 Oct 2026)</t>
        </is>
      </c>
    </row>
    <row r="61" ht="36" customHeight="1">
      <c r="A61" s="9" t="inlineStr">
        <is>
          <t>1. 22 test runs recorded (310 individual checks). Most features released 8-14 Oct were tested on test.gokesari.com and spot-checked on gokesari.com after release; Seller Central has local checks only and the saffron wordmark change has no recorded run.</t>
        </is>
      </c>
    </row>
    <row r="62" ht="36" customHeight="1">
      <c r="A62" s="9" t="inlineStr">
        <is>
          <t>2. Latest: the seller / customer database split verified PASS on production (14 Oct, run 19: 190 tables, 486 rows, every checksum equal) after the test split (13 Oct). Please confirm the production split databases' names.</t>
        </is>
      </c>
    </row>
    <row r="63" ht="36" customHeight="1">
      <c r="A63" s="9" t="inlineStr">
        <is>
          <t>3. Open defects: OCR auto-read does not start on Hostinger (D-18); mail host hourly cap (D-04); hydration error on /wallet and /admin/orders (D-13); same subquery bug in 3 queries (D-15); stale lifecycle E2E steps (D-20); slow 4G pages (D-07).</t>
        </is>
      </c>
    </row>
    <row r="64" ht="36" customHeight="1">
      <c r="A64" s="9" t="inlineStr">
        <is>
          <t>4. Owner actions found by testing: Maps server key restriction (D-05, D-10); Verification Suite keys (D-23); SMS provider for test (D-11).</t>
        </is>
      </c>
    </row>
    <row r="65" ht="36" customHeight="1">
      <c r="A65" s="9" t="inlineStr">
        <is>
          <t>5. Not run yet: the 791-case plan (0 of 791 executed) and the order-lifecycle run on staging (local 21/21 only).</t>
        </is>
      </c>
    </row>
  </sheetData>
  <mergeCells count="9">
    <mergeCell ref="A4:H4"/>
    <mergeCell ref="A62:H62"/>
    <mergeCell ref="A3:H3"/>
    <mergeCell ref="A65:H65"/>
    <mergeCell ref="A2:H2"/>
    <mergeCell ref="A63:H63"/>
    <mergeCell ref="A64:H64"/>
    <mergeCell ref="A5:H5"/>
    <mergeCell ref="A61:H61"/>
  </mergeCells>
  <conditionalFormatting sqref="A9:A13">
    <cfRule type="cellIs" priority="1" operator="equal" dxfId="0">
      <formula>"PASS"</formula>
    </cfRule>
    <cfRule type="cellIs" priority="2" operator="equal" dxfId="1">
      <formula>"PASS with open items"</formula>
    </cfRule>
    <cfRule type="cellIs" priority="3" operator="equal" dxfId="2">
      <formula>"FAIL"</formula>
    </cfRule>
    <cfRule type="cellIs" priority="4" operator="equal" dxfId="1">
      <formula>"BLOCKED"</formula>
    </cfRule>
    <cfRule type="cellIs" priority="5" operator="equal" dxfId="3">
      <formula>"NOT RUN"</formula>
    </cfRule>
  </conditionalFormatting>
  <conditionalFormatting sqref="A18:A23">
    <cfRule type="cellIs" priority="6" operator="equal" dxfId="0">
      <formula>"PASS"</formula>
    </cfRule>
    <cfRule type="cellIs" priority="7" operator="equal" dxfId="4">
      <formula>"OK (recorded)"</formula>
    </cfRule>
    <cfRule type="cellIs" priority="8" operator="equal" dxfId="2">
      <formula>"FAIL"</formula>
    </cfRule>
    <cfRule type="cellIs" priority="9" operator="equal" dxfId="1">
      <formula>"BLOCKED"</formula>
    </cfRule>
    <cfRule type="cellIs" priority="10" operator="equal" dxfId="3">
      <formula>"NOT RUN"</formula>
    </cfRule>
    <cfRule type="cellIs" priority="11" operator="equal" dxfId="1">
      <formula>"ISSUE"</formula>
    </cfRule>
  </conditionalFormatting>
  <conditionalFormatting sqref="A28:A32">
    <cfRule type="cellIs" priority="12" operator="equal" dxfId="0">
      <formula>"Fixed"</formula>
    </cfRule>
    <cfRule type="cellIs" priority="13" operator="equal" dxfId="2">
      <formula>"Open"</formula>
    </cfRule>
    <cfRule type="cellIs" priority="14" operator="equal" dxfId="1">
      <formula>"Owner action"</formula>
    </cfRule>
    <cfRule type="cellIs" priority="15" operator="equal" dxfId="3">
      <formula>"Accepted"</formula>
    </cfRule>
    <cfRule type="cellIs" priority="16" operator="equal" dxfId="1">
      <formula>"To confirm"</formula>
    </cfRule>
  </conditionalFormatting>
  <conditionalFormatting sqref="H37:H58">
    <cfRule type="cellIs" priority="17" operator="equal" dxfId="0">
      <formula>"PASS"</formula>
    </cfRule>
    <cfRule type="cellIs" priority="18" operator="equal" dxfId="1">
      <formula>"PASS with open items"</formula>
    </cfRule>
    <cfRule type="cellIs" priority="19" operator="equal" dxfId="2">
      <formula>"FAIL"</formula>
    </cfRule>
    <cfRule type="cellIs" priority="20" operator="equal" dxfId="1">
      <formula>"BLOCKED"</formula>
    </cfRule>
    <cfRule type="cellIs" priority="21" operator="equal" dxfId="3">
      <formula>"NOT RUN"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38" customWidth="1" min="4" max="4"/>
    <col width="22" customWidth="1" min="5" max="5"/>
    <col width="12" customWidth="1" min="6" max="6"/>
    <col width="24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7" customWidth="1" min="13" max="13"/>
    <col width="9" customWidth="1" min="14" max="14"/>
    <col width="7" customWidth="1" min="15" max="15"/>
    <col width="10" customWidth="1" min="16" max="16"/>
    <col width="15" customWidth="1" min="17" max="17"/>
    <col width="50" customWidth="1" min="18" max="18"/>
    <col width="38" customWidth="1" min="19" max="19"/>
  </cols>
  <sheetData>
    <row r="1" ht="30" customHeight="1">
      <c r="A1" s="4" t="inlineStr">
        <is>
          <t>Run ID</t>
        </is>
      </c>
      <c r="B1" s="4" t="inlineStr">
        <is>
          <t>Date</t>
        </is>
      </c>
      <c r="C1" s="4" t="inlineStr">
        <is>
          <t>Environment</t>
        </is>
      </c>
      <c r="D1" s="4" t="inlineStr">
        <is>
          <t>Scope</t>
        </is>
      </c>
      <c r="E1" s="4" t="inlineStr">
        <is>
          <t>Feature IDs</t>
        </is>
      </c>
      <c r="F1" s="4" t="inlineStr">
        <is>
          <t>PRs</t>
        </is>
      </c>
      <c r="G1" s="4" t="inlineStr">
        <is>
          <t>Method</t>
        </is>
      </c>
      <c r="H1" s="4" t="inlineStr">
        <is>
          <t>Declared run</t>
        </is>
      </c>
      <c r="I1" s="4" t="inlineStr">
        <is>
          <t>Declared pass</t>
        </is>
      </c>
      <c r="J1" s="4" t="inlineStr">
        <is>
          <t>Declared fail</t>
        </is>
      </c>
      <c r="K1" s="4" t="inlineStr">
        <is>
          <t>Declared not run</t>
        </is>
      </c>
      <c r="L1" s="4" t="inlineStr">
        <is>
          <t>Recorded checks</t>
        </is>
      </c>
      <c r="M1" s="4" t="inlineStr">
        <is>
          <t>Pass</t>
        </is>
      </c>
      <c r="N1" s="4" t="inlineStr">
        <is>
          <t>OK (recorded)</t>
        </is>
      </c>
      <c r="O1" s="4" t="inlineStr">
        <is>
          <t>Fail</t>
        </is>
      </c>
      <c r="P1" s="4" t="inlineStr">
        <is>
          <t>Blocked / not run / issue</t>
        </is>
      </c>
      <c r="Q1" s="4" t="inlineStr">
        <is>
          <t>Overall result</t>
        </is>
      </c>
      <c r="R1" s="4" t="inlineStr">
        <is>
          <t>Open items / notes</t>
        </is>
      </c>
      <c r="S1" s="4" t="inlineStr">
        <is>
          <t>Evidence</t>
        </is>
      </c>
    </row>
    <row r="2" ht="27" customHeight="1">
      <c r="A2" s="5" t="inlineStr">
        <is>
          <t>TR-01</t>
        </is>
      </c>
      <c r="B2" s="6" t="inlineStr">
        <is>
          <t>2026-09-22</t>
        </is>
      </c>
      <c r="C2" s="6" t="inlineStr">
        <is>
          <t>Local (Windows 11, PostgreSQL 16)</t>
        </is>
      </c>
      <c r="D2" s="6" t="inlineStr">
        <is>
          <t>Baseline automated suite before the marketplace work</t>
        </is>
      </c>
      <c r="E2" s="6" t="inlineStr">
        <is>
          <t>All modules</t>
        </is>
      </c>
      <c r="F2" s="6" t="inlineStr">
        <is>
          <t>-</t>
        </is>
      </c>
      <c r="G2" s="6" t="inlineStr">
        <is>
          <t>Automated (vitest)</t>
        </is>
      </c>
      <c r="H2" s="6" t="n">
        <v>628</v>
      </c>
      <c r="I2" s="6" t="n">
        <v>626</v>
      </c>
      <c r="J2" s="6" t="n">
        <v>2</v>
      </c>
      <c r="K2" s="6" t="n">
        <v>0</v>
      </c>
      <c r="L2" s="6">
        <f>COUNTIF('Results (detail)'!$B$2:$B$311,A2)</f>
        <v/>
      </c>
      <c r="M2" s="6">
        <f>COUNTIFS('Results (detail)'!$B$2:$B$311,A2,'Results (detail)'!$I$2:$I$311,"PASS")</f>
        <v/>
      </c>
      <c r="N2" s="6">
        <f>COUNTIFS('Results (detail)'!$B$2:$B$311,A2,'Results (detail)'!$I$2:$I$311,"OK (recorded)")</f>
        <v/>
      </c>
      <c r="O2" s="6">
        <f>COUNTIFS('Results (detail)'!$B$2:$B$311,A2,'Results (detail)'!$I$2:$I$311,"FAIL")</f>
        <v/>
      </c>
      <c r="P2" s="6">
        <f>COUNTIFS('Results (detail)'!$B$2:$B$311,A2,'Results (detail)'!$I$2:$I$311,"BLOCKED")+COUNTIFS('Results (detail)'!$B$2:$B$311,A2,'Results (detail)'!$I$2:$I$311,"NOT RUN")+COUNTIFS('Results (detail)'!$B$2:$B$311,A2,'Results (detail)'!$I$2:$I$311,"ISSUE")</f>
        <v/>
      </c>
      <c r="Q2" s="6" t="inlineStr">
        <is>
          <t>PASS</t>
        </is>
      </c>
      <c r="R2" s="6" t="inlineStr">
        <is>
          <t>The 2 failures are Windows line-ending artefacts in generated docs (0 functional failures)</t>
        </is>
      </c>
      <c r="S2" s="6" t="inlineStr">
        <is>
          <t>docs/gokesari-audit/GOKESARI_BASELINE_TEST_REPORT.xlsx</t>
        </is>
      </c>
    </row>
    <row r="3" ht="39" customHeight="1">
      <c r="A3" s="5" t="inlineStr">
        <is>
          <t>TR-02</t>
        </is>
      </c>
      <c r="B3" s="6" t="inlineStr">
        <is>
          <t>2026-10-08</t>
        </is>
      </c>
      <c r="C3" s="6" t="inlineStr">
        <is>
          <t>test.gokesari.com</t>
        </is>
      </c>
      <c r="D3" s="6" t="inlineStr">
        <is>
          <t>Four features: delivery options, legal documents, bank accounts (Rs 1), referral code + regression</t>
        </is>
      </c>
      <c r="E3" s="6" t="inlineStr">
        <is>
          <t>NEW-039, NEW-040, NEW-041, NEW-042</t>
        </is>
      </c>
      <c r="F3" s="6" t="inlineStr">
        <is>
          <t>#102</t>
        </is>
      </c>
      <c r="G3" s="6" t="inlineStr">
        <is>
          <t>Browser (Chromium, phone + desktop), real emailed codes, Cashfree sandbox</t>
        </is>
      </c>
      <c r="H3" s="6" t="n"/>
      <c r="I3" s="6" t="n"/>
      <c r="J3" s="6" t="n"/>
      <c r="K3" s="6" t="n"/>
      <c r="L3" s="6">
        <f>COUNTIF('Results (detail)'!$B$2:$B$311,A3)</f>
        <v/>
      </c>
      <c r="M3" s="6">
        <f>COUNTIFS('Results (detail)'!$B$2:$B$311,A3,'Results (detail)'!$I$2:$I$311,"PASS")</f>
        <v/>
      </c>
      <c r="N3" s="6">
        <f>COUNTIFS('Results (detail)'!$B$2:$B$311,A3,'Results (detail)'!$I$2:$I$311,"OK (recorded)")</f>
        <v/>
      </c>
      <c r="O3" s="6">
        <f>COUNTIFS('Results (detail)'!$B$2:$B$311,A3,'Results (detail)'!$I$2:$I$311,"FAIL")</f>
        <v/>
      </c>
      <c r="P3" s="6">
        <f>COUNTIFS('Results (detail)'!$B$2:$B$311,A3,'Results (detail)'!$I$2:$I$311,"BLOCKED")+COUNTIFS('Results (detail)'!$B$2:$B$311,A3,'Results (detail)'!$I$2:$I$311,"NOT RUN")+COUNTIFS('Results (detail)'!$B$2:$B$311,A3,'Results (detail)'!$I$2:$I$311,"ISSUE")</f>
        <v/>
      </c>
      <c r="Q3" s="6" t="inlineStr">
        <is>
          <t>PASS with open items</t>
        </is>
      </c>
      <c r="R3" s="6" t="inlineStr">
        <is>
          <t>3 bugs found (fixed in #103); payout gate not runnable on test; mail host hourly cap (S-5)</t>
        </is>
      </c>
      <c r="S3" s="6" t="inlineStr">
        <is>
          <t>docs/four-features-2026-10/TEST_RESULTS.md §1-3</t>
        </is>
      </c>
    </row>
    <row r="4" ht="15" customHeight="1">
      <c r="A4" s="5" t="inlineStr">
        <is>
          <t>TR-03</t>
        </is>
      </c>
      <c r="B4" s="6" t="inlineStr">
        <is>
          <t>2026-10-08</t>
        </is>
      </c>
      <c r="C4" s="6" t="inlineStr">
        <is>
          <t>test.gokesari.com</t>
        </is>
      </c>
      <c r="D4" s="6" t="inlineStr">
        <is>
          <t>Four features: re-check of the #103 fixes</t>
        </is>
      </c>
      <c r="E4" s="6" t="inlineStr">
        <is>
          <t>NEW-039, NEW-041, NEW-042</t>
        </is>
      </c>
      <c r="F4" s="6" t="inlineStr">
        <is>
          <t>#103</t>
        </is>
      </c>
      <c r="G4" s="6" t="inlineStr">
        <is>
          <t>Browser + database evidence</t>
        </is>
      </c>
      <c r="H4" s="6" t="n"/>
      <c r="I4" s="6" t="n"/>
      <c r="J4" s="6" t="n"/>
      <c r="K4" s="6" t="n"/>
      <c r="L4" s="6">
        <f>COUNTIF('Results (detail)'!$B$2:$B$311,A4)</f>
        <v/>
      </c>
      <c r="M4" s="6">
        <f>COUNTIFS('Results (detail)'!$B$2:$B$311,A4,'Results (detail)'!$I$2:$I$311,"PASS")</f>
        <v/>
      </c>
      <c r="N4" s="6">
        <f>COUNTIFS('Results (detail)'!$B$2:$B$311,A4,'Results (detail)'!$I$2:$I$311,"OK (recorded)")</f>
        <v/>
      </c>
      <c r="O4" s="6">
        <f>COUNTIFS('Results (detail)'!$B$2:$B$311,A4,'Results (detail)'!$I$2:$I$311,"FAIL")</f>
        <v/>
      </c>
      <c r="P4" s="6">
        <f>COUNTIFS('Results (detail)'!$B$2:$B$311,A4,'Results (detail)'!$I$2:$I$311,"BLOCKED")+COUNTIFS('Results (detail)'!$B$2:$B$311,A4,'Results (detail)'!$I$2:$I$311,"NOT RUN")+COUNTIFS('Results (detail)'!$B$2:$B$311,A4,'Results (detail)'!$I$2:$I$311,"ISSUE")</f>
        <v/>
      </c>
      <c r="Q4" s="6" t="inlineStr">
        <is>
          <t>PASS</t>
        </is>
      </c>
      <c r="R4" s="6" t="inlineStr">
        <is>
          <t>-</t>
        </is>
      </c>
      <c r="S4" s="6" t="inlineStr">
        <is>
          <t>docs/four-features-2026-10/TEST_RESULTS.md §4</t>
        </is>
      </c>
    </row>
    <row r="5" ht="27" customHeight="1">
      <c r="A5" s="5" t="inlineStr">
        <is>
          <t>TR-04</t>
        </is>
      </c>
      <c r="B5" s="6" t="inlineStr">
        <is>
          <t>2026-10-09</t>
        </is>
      </c>
      <c r="C5" s="6" t="inlineStr">
        <is>
          <t>test.gokesari.com</t>
        </is>
      </c>
      <c r="D5" s="6" t="inlineStr">
        <is>
          <t>Four features: owner's decisions (round 1) - bank refunds, customer sign-up referral</t>
        </is>
      </c>
      <c r="E5" s="6" t="inlineStr">
        <is>
          <t>NEW-048, NEW-049</t>
        </is>
      </c>
      <c r="F5" s="6" t="inlineStr">
        <is>
          <t>#106</t>
        </is>
      </c>
      <c r="G5" s="6" t="inlineStr">
        <is>
          <t>Browser</t>
        </is>
      </c>
      <c r="H5" s="6" t="n"/>
      <c r="I5" s="6" t="n"/>
      <c r="J5" s="6" t="n"/>
      <c r="K5" s="6" t="n"/>
      <c r="L5" s="6">
        <f>COUNTIF('Results (detail)'!$B$2:$B$311,A5)</f>
        <v/>
      </c>
      <c r="M5" s="6">
        <f>COUNTIFS('Results (detail)'!$B$2:$B$311,A5,'Results (detail)'!$I$2:$I$311,"PASS")</f>
        <v/>
      </c>
      <c r="N5" s="6">
        <f>COUNTIFS('Results (detail)'!$B$2:$B$311,A5,'Results (detail)'!$I$2:$I$311,"OK (recorded)")</f>
        <v/>
      </c>
      <c r="O5" s="6">
        <f>COUNTIFS('Results (detail)'!$B$2:$B$311,A5,'Results (detail)'!$I$2:$I$311,"FAIL")</f>
        <v/>
      </c>
      <c r="P5" s="6">
        <f>COUNTIFS('Results (detail)'!$B$2:$B$311,A5,'Results (detail)'!$I$2:$I$311,"BLOCKED")+COUNTIFS('Results (detail)'!$B$2:$B$311,A5,'Results (detail)'!$I$2:$I$311,"NOT RUN")+COUNTIFS('Results (detail)'!$B$2:$B$311,A5,'Results (detail)'!$I$2:$I$311,"ISSUE")</f>
        <v/>
      </c>
      <c r="Q5" s="6" t="inlineStr">
        <is>
          <t>PASS</t>
        </is>
      </c>
      <c r="R5" s="6" t="inlineStr">
        <is>
          <t>-</t>
        </is>
      </c>
      <c r="S5" s="6" t="inlineStr">
        <is>
          <t>docs/four-features-2026-10/TEST_RESULTS.md §5</t>
        </is>
      </c>
    </row>
    <row r="6" ht="27" customHeight="1">
      <c r="A6" s="5" t="inlineStr">
        <is>
          <t>TR-05</t>
        </is>
      </c>
      <c r="B6" s="6" t="inlineStr">
        <is>
          <t>2026-10-09</t>
        </is>
      </c>
      <c r="C6" s="6" t="inlineStr">
        <is>
          <t>test.gokesari.com</t>
        </is>
      </c>
      <c r="D6" s="6" t="inlineStr">
        <is>
          <t>Four features: owner's decisions (round 2) - mandatory customer referral from a date</t>
        </is>
      </c>
      <c r="E6" s="6" t="inlineStr">
        <is>
          <t>NEW-048</t>
        </is>
      </c>
      <c r="F6" s="6" t="inlineStr">
        <is>
          <t>#109</t>
        </is>
      </c>
      <c r="G6" s="6" t="inlineStr">
        <is>
          <t>Browser</t>
        </is>
      </c>
      <c r="H6" s="6" t="n"/>
      <c r="I6" s="6" t="n"/>
      <c r="J6" s="6" t="n"/>
      <c r="K6" s="6" t="n"/>
      <c r="L6" s="6">
        <f>COUNTIF('Results (detail)'!$B$2:$B$311,A6)</f>
        <v/>
      </c>
      <c r="M6" s="6">
        <f>COUNTIFS('Results (detail)'!$B$2:$B$311,A6,'Results (detail)'!$I$2:$I$311,"PASS")</f>
        <v/>
      </c>
      <c r="N6" s="6">
        <f>COUNTIFS('Results (detail)'!$B$2:$B$311,A6,'Results (detail)'!$I$2:$I$311,"OK (recorded)")</f>
        <v/>
      </c>
      <c r="O6" s="6">
        <f>COUNTIFS('Results (detail)'!$B$2:$B$311,A6,'Results (detail)'!$I$2:$I$311,"FAIL")</f>
        <v/>
      </c>
      <c r="P6" s="6">
        <f>COUNTIFS('Results (detail)'!$B$2:$B$311,A6,'Results (detail)'!$I$2:$I$311,"BLOCKED")+COUNTIFS('Results (detail)'!$B$2:$B$311,A6,'Results (detail)'!$I$2:$I$311,"NOT RUN")+COUNTIFS('Results (detail)'!$B$2:$B$311,A6,'Results (detail)'!$I$2:$I$311,"ISSUE")</f>
        <v/>
      </c>
      <c r="Q6" s="6" t="inlineStr">
        <is>
          <t>PASS</t>
        </is>
      </c>
      <c r="R6" s="6" t="inlineStr">
        <is>
          <t>-</t>
        </is>
      </c>
      <c r="S6" s="6" t="inlineStr">
        <is>
          <t>docs/four-features-2026-10/TEST_RESULTS.md §6</t>
        </is>
      </c>
    </row>
    <row r="7" ht="39" customHeight="1">
      <c r="A7" s="5" t="inlineStr">
        <is>
          <t>TR-06</t>
        </is>
      </c>
      <c r="B7" s="6" t="inlineStr">
        <is>
          <t>2026-10-09</t>
        </is>
      </c>
      <c r="C7" s="6" t="inlineStr">
        <is>
          <t>test.gokesari.com</t>
        </is>
      </c>
      <c r="D7" s="6" t="inlineStr">
        <is>
          <t>Bank check with Cashfree Verification Suite (O-7)</t>
        </is>
      </c>
      <c r="E7" s="6" t="inlineStr">
        <is>
          <t>NEW-050</t>
        </is>
      </c>
      <c r="F7" s="6" t="inlineStr">
        <is>
          <t>#115, #117</t>
        </is>
      </c>
      <c r="G7" s="6" t="inlineStr">
        <is>
          <t>Browser</t>
        </is>
      </c>
      <c r="H7" s="6" t="n"/>
      <c r="I7" s="6" t="n"/>
      <c r="J7" s="6" t="n"/>
      <c r="K7" s="6" t="n"/>
      <c r="L7" s="6">
        <f>COUNTIF('Results (detail)'!$B$2:$B$311,A7)</f>
        <v/>
      </c>
      <c r="M7" s="6">
        <f>COUNTIFS('Results (detail)'!$B$2:$B$311,A7,'Results (detail)'!$I$2:$I$311,"PASS")</f>
        <v/>
      </c>
      <c r="N7" s="6">
        <f>COUNTIFS('Results (detail)'!$B$2:$B$311,A7,'Results (detail)'!$I$2:$I$311,"OK (recorded)")</f>
        <v/>
      </c>
      <c r="O7" s="6">
        <f>COUNTIFS('Results (detail)'!$B$2:$B$311,A7,'Results (detail)'!$I$2:$I$311,"FAIL")</f>
        <v/>
      </c>
      <c r="P7" s="6">
        <f>COUNTIFS('Results (detail)'!$B$2:$B$311,A7,'Results (detail)'!$I$2:$I$311,"BLOCKED")+COUNTIFS('Results (detail)'!$B$2:$B$311,A7,'Results (detail)'!$I$2:$I$311,"NOT RUN")+COUNTIFS('Results (detail)'!$B$2:$B$311,A7,'Results (detail)'!$I$2:$I$311,"ISSUE")</f>
        <v/>
      </c>
      <c r="Q7" s="6" t="inlineStr">
        <is>
          <t>BLOCKED</t>
        </is>
      </c>
      <c r="R7" s="6" t="inlineStr">
        <is>
          <t>Test site does not see the Verification Suite keys (they must be in the Hostinger environment, not only GitHub); O7.2-O7.5 not run</t>
        </is>
      </c>
      <c r="S7" s="6" t="inlineStr">
        <is>
          <t>docs/four-features-2026-10/TEST_RESULTS.md §7</t>
        </is>
      </c>
    </row>
    <row r="8" ht="27" customHeight="1">
      <c r="A8" s="5" t="inlineStr">
        <is>
          <t>TR-07</t>
        </is>
      </c>
      <c r="B8" s="6" t="inlineStr">
        <is>
          <t>2026-10-09</t>
        </is>
      </c>
      <c r="C8" s="6" t="inlineStr">
        <is>
          <t>Local + test.gokesari.com + preview app</t>
        </is>
      </c>
      <c r="D8" s="6" t="inlineStr">
        <is>
          <t>Tile Board home screens</t>
        </is>
      </c>
      <c r="E8" s="6" t="inlineStr">
        <is>
          <t>NEW-046, NEW-047</t>
        </is>
      </c>
      <c r="F8" s="6" t="inlineStr">
        <is>
          <t>#112</t>
        </is>
      </c>
      <c r="G8" s="6" t="inlineStr">
        <is>
          <t>Unit (29) + browser (Playwright)</t>
        </is>
      </c>
      <c r="H8" s="6" t="n"/>
      <c r="I8" s="6" t="n"/>
      <c r="J8" s="6" t="n"/>
      <c r="K8" s="6" t="n"/>
      <c r="L8" s="6">
        <f>COUNTIF('Results (detail)'!$B$2:$B$311,A8)</f>
        <v/>
      </c>
      <c r="M8" s="6">
        <f>COUNTIFS('Results (detail)'!$B$2:$B$311,A8,'Results (detail)'!$I$2:$I$311,"PASS")</f>
        <v/>
      </c>
      <c r="N8" s="6">
        <f>COUNTIFS('Results (detail)'!$B$2:$B$311,A8,'Results (detail)'!$I$2:$I$311,"OK (recorded)")</f>
        <v/>
      </c>
      <c r="O8" s="6">
        <f>COUNTIFS('Results (detail)'!$B$2:$B$311,A8,'Results (detail)'!$I$2:$I$311,"FAIL")</f>
        <v/>
      </c>
      <c r="P8" s="6">
        <f>COUNTIFS('Results (detail)'!$B$2:$B$311,A8,'Results (detail)'!$I$2:$I$311,"BLOCKED")+COUNTIFS('Results (detail)'!$B$2:$B$311,A8,'Results (detail)'!$I$2:$I$311,"NOT RUN")+COUNTIFS('Results (detail)'!$B$2:$B$311,A8,'Results (detail)'!$I$2:$I$311,"ISSUE")</f>
        <v/>
      </c>
      <c r="Q8" s="6" t="inlineStr">
        <is>
          <t>PASS</t>
        </is>
      </c>
      <c r="R8" s="6" t="inlineStr">
        <is>
          <t>Signed-in roles checked locally only</t>
        </is>
      </c>
      <c r="S8" s="6" t="inlineStr">
        <is>
          <t>docs/tile-board-2026-10/TEST_RESULTS.md</t>
        </is>
      </c>
    </row>
    <row r="9" ht="51" customHeight="1">
      <c r="A9" s="5" t="inlineStr">
        <is>
          <t>TR-08</t>
        </is>
      </c>
      <c r="B9" s="6" t="inlineStr">
        <is>
          <t>2026-10-09</t>
        </is>
      </c>
      <c r="C9" s="6" t="inlineStr">
        <is>
          <t>test.gokesari.com</t>
        </is>
      </c>
      <c r="D9" s="6" t="inlineStr">
        <is>
          <t>Tile Board UI pass: navigation, access, end-to-end, Lighthouse, fit (all roles, 7 sizes x 3 languages)</t>
        </is>
      </c>
      <c r="E9" s="6" t="inlineStr">
        <is>
          <t>NEW-051 to NEW-055</t>
        </is>
      </c>
      <c r="F9" s="6" t="inlineStr">
        <is>
          <t>#122, #124</t>
        </is>
      </c>
      <c r="G9" s="6" t="inlineStr">
        <is>
          <t>Browser + Lighthouse</t>
        </is>
      </c>
      <c r="H9" s="6" t="n">
        <v>1038</v>
      </c>
      <c r="I9" s="6" t="n">
        <v>1026</v>
      </c>
      <c r="J9" s="6" t="n">
        <v>8</v>
      </c>
      <c r="K9" s="6" t="n">
        <v>4</v>
      </c>
      <c r="L9" s="6">
        <f>COUNTIF('Results (detail)'!$B$2:$B$311,A9)</f>
        <v/>
      </c>
      <c r="M9" s="6">
        <f>COUNTIFS('Results (detail)'!$B$2:$B$311,A9,'Results (detail)'!$I$2:$I$311,"PASS")</f>
        <v/>
      </c>
      <c r="N9" s="6">
        <f>COUNTIFS('Results (detail)'!$B$2:$B$311,A9,'Results (detail)'!$I$2:$I$311,"OK (recorded)")</f>
        <v/>
      </c>
      <c r="O9" s="6">
        <f>COUNTIFS('Results (detail)'!$B$2:$B$311,A9,'Results (detail)'!$I$2:$I$311,"FAIL")</f>
        <v/>
      </c>
      <c r="P9" s="6">
        <f>COUNTIFS('Results (detail)'!$B$2:$B$311,A9,'Results (detail)'!$I$2:$I$311,"BLOCKED")+COUNTIFS('Results (detail)'!$B$2:$B$311,A9,'Results (detail)'!$I$2:$I$311,"NOT RUN")+COUNTIFS('Results (detail)'!$B$2:$B$311,A9,'Results (detail)'!$I$2:$I$311,"ISSUE")</f>
        <v/>
      </c>
      <c r="Q9" s="6" t="inlineStr">
        <is>
          <t>PASS with open items</t>
        </is>
      </c>
      <c r="R9" s="6" t="inlineStr">
        <is>
          <t>8 fail: 5 pages over 3 s on slow 4G, shop owner board 2 px over at 320x640, 1 link blocked, 1 Lighthouse; 4 not run (2 sandbox payments - Actions billing, rider return pickup, KYC-pending approval)</t>
        </is>
      </c>
      <c r="S9" s="6" t="inlineStr">
        <is>
          <t>docs/tile-board-2026-10/TEST_RESULTS_UI_PASS.md; GoKesari_UI_Test_Report_2026-10-09.xlsx</t>
        </is>
      </c>
    </row>
    <row r="10" ht="27" customHeight="1">
      <c r="A10" s="5" t="inlineStr">
        <is>
          <t>TR-09</t>
        </is>
      </c>
      <c r="B10" s="6" t="inlineStr">
        <is>
          <t>2026-10-09</t>
        </is>
      </c>
      <c r="C10" s="6" t="inlineStr">
        <is>
          <t>gokesari.com + test.gokesari.com</t>
        </is>
      </c>
      <c r="D10" s="6" t="inlineStr">
        <is>
          <t>Production checks after release #126; PR #127 on test</t>
        </is>
      </c>
      <c r="E10" s="6" t="inlineStr">
        <is>
          <t>NEW-051 to NEW-055, PLT-014</t>
        </is>
      </c>
      <c r="F10" s="6" t="inlineStr">
        <is>
          <t>#126, #127</t>
        </is>
      </c>
      <c r="G10" s="6" t="inlineStr">
        <is>
          <t>HTTP + Lighthouse</t>
        </is>
      </c>
      <c r="H10" s="6" t="n"/>
      <c r="I10" s="6" t="n"/>
      <c r="J10" s="6" t="n"/>
      <c r="K10" s="6" t="n"/>
      <c r="L10" s="6">
        <f>COUNTIF('Results (detail)'!$B$2:$B$311,A10)</f>
        <v/>
      </c>
      <c r="M10" s="6">
        <f>COUNTIFS('Results (detail)'!$B$2:$B$311,A10,'Results (detail)'!$I$2:$I$311,"PASS")</f>
        <v/>
      </c>
      <c r="N10" s="6">
        <f>COUNTIFS('Results (detail)'!$B$2:$B$311,A10,'Results (detail)'!$I$2:$I$311,"OK (recorded)")</f>
        <v/>
      </c>
      <c r="O10" s="6">
        <f>COUNTIFS('Results (detail)'!$B$2:$B$311,A10,'Results (detail)'!$I$2:$I$311,"FAIL")</f>
        <v/>
      </c>
      <c r="P10" s="6">
        <f>COUNTIFS('Results (detail)'!$B$2:$B$311,A10,'Results (detail)'!$I$2:$I$311,"BLOCKED")+COUNTIFS('Results (detail)'!$B$2:$B$311,A10,'Results (detail)'!$I$2:$I$311,"NOT RUN")+COUNTIFS('Results (detail)'!$B$2:$B$311,A10,'Results (detail)'!$I$2:$I$311,"ISSUE")</f>
        <v/>
      </c>
      <c r="Q10" s="6" t="inlineStr">
        <is>
          <t>PASS</t>
        </is>
      </c>
      <c r="R10" s="6" t="inlineStr">
        <is>
          <t>-</t>
        </is>
      </c>
      <c r="S10" s="6" t="inlineStr">
        <is>
          <t>docs/tile-board-2026-10/TEST_RESULTS_UI_PASS.md (Production)</t>
        </is>
      </c>
    </row>
    <row r="11" ht="39" customHeight="1">
      <c r="A11" s="5" t="inlineStr">
        <is>
          <t>TR-10</t>
        </is>
      </c>
      <c r="B11" s="6" t="inlineStr">
        <is>
          <t>2026-10-10</t>
        </is>
      </c>
      <c r="C11" s="6" t="inlineStr">
        <is>
          <t>test.gokesari.com</t>
        </is>
      </c>
      <c r="D11" s="6" t="inlineStr">
        <is>
          <t>Nearby shops + referral Mandatory/Optional settings + regression</t>
        </is>
      </c>
      <c r="E11" s="6" t="inlineStr">
        <is>
          <t>NEW-057, NEW-058, NEW-059</t>
        </is>
      </c>
      <c r="F11" s="6" t="inlineStr">
        <is>
          <t>#133, #136</t>
        </is>
      </c>
      <c r="G11" s="6" t="inlineStr">
        <is>
          <t>Browser (Android, iPhone, desktop emulation), Cashfree sandbox</t>
        </is>
      </c>
      <c r="H11" s="6" t="n"/>
      <c r="I11" s="6" t="n"/>
      <c r="J11" s="6" t="n"/>
      <c r="K11" s="6" t="n"/>
      <c r="L11" s="6">
        <f>COUNTIF('Results (detail)'!$B$2:$B$311,A11)</f>
        <v/>
      </c>
      <c r="M11" s="6">
        <f>COUNTIFS('Results (detail)'!$B$2:$B$311,A11,'Results (detail)'!$I$2:$I$311,"PASS")</f>
        <v/>
      </c>
      <c r="N11" s="6">
        <f>COUNTIFS('Results (detail)'!$B$2:$B$311,A11,'Results (detail)'!$I$2:$I$311,"OK (recorded)")</f>
        <v/>
      </c>
      <c r="O11" s="6">
        <f>COUNTIFS('Results (detail)'!$B$2:$B$311,A11,'Results (detail)'!$I$2:$I$311,"FAIL")</f>
        <v/>
      </c>
      <c r="P11" s="6">
        <f>COUNTIFS('Results (detail)'!$B$2:$B$311,A11,'Results (detail)'!$I$2:$I$311,"BLOCKED")+COUNTIFS('Results (detail)'!$B$2:$B$311,A11,'Results (detail)'!$I$2:$I$311,"NOT RUN")+COUNTIFS('Results (detail)'!$B$2:$B$311,A11,'Results (detail)'!$I$2:$I$311,"ISSUE")</f>
        <v/>
      </c>
      <c r="Q11" s="6" t="inlineStr">
        <is>
          <t>PASS with open items</t>
        </is>
      </c>
      <c r="R11" s="6" t="inlineStr">
        <is>
          <t>Backfill blocked by the Maps server key (N-1); paid self-registration not run (no SMS provider, N-2)</t>
        </is>
      </c>
      <c r="S11" s="6" t="inlineStr">
        <is>
          <t>docs/nearby-referral-2026-10/TEST_RESULTS.md §1-5</t>
        </is>
      </c>
    </row>
    <row r="12" ht="27" customHeight="1">
      <c r="A12" s="5" t="inlineStr">
        <is>
          <t>TR-11</t>
        </is>
      </c>
      <c r="B12" s="6" t="inlineStr">
        <is>
          <t>2026-10-10</t>
        </is>
      </c>
      <c r="C12" s="6" t="inlineStr">
        <is>
          <t>gokesari.com + mobile apps</t>
        </is>
      </c>
      <c r="D12" s="6" t="inlineStr">
        <is>
          <t>Nearby + referral settings: production checks after release #135; Android APK</t>
        </is>
      </c>
      <c r="E12" s="6" t="inlineStr">
        <is>
          <t>NEW-057, NEW-058</t>
        </is>
      </c>
      <c r="F12" s="6" t="inlineStr">
        <is>
          <t>#135, #137</t>
        </is>
      </c>
      <c r="G12" s="6" t="inlineStr">
        <is>
          <t>HTTP + browser, read-only</t>
        </is>
      </c>
      <c r="H12" s="6" t="n"/>
      <c r="I12" s="6" t="n"/>
      <c r="J12" s="6" t="n"/>
      <c r="K12" s="6" t="n"/>
      <c r="L12" s="6">
        <f>COUNTIF('Results (detail)'!$B$2:$B$311,A12)</f>
        <v/>
      </c>
      <c r="M12" s="6">
        <f>COUNTIFS('Results (detail)'!$B$2:$B$311,A12,'Results (detail)'!$I$2:$I$311,"PASS")</f>
        <v/>
      </c>
      <c r="N12" s="6">
        <f>COUNTIFS('Results (detail)'!$B$2:$B$311,A12,'Results (detail)'!$I$2:$I$311,"OK (recorded)")</f>
        <v/>
      </c>
      <c r="O12" s="6">
        <f>COUNTIFS('Results (detail)'!$B$2:$B$311,A12,'Results (detail)'!$I$2:$I$311,"FAIL")</f>
        <v/>
      </c>
      <c r="P12" s="6">
        <f>COUNTIFS('Results (detail)'!$B$2:$B$311,A12,'Results (detail)'!$I$2:$I$311,"BLOCKED")+COUNTIFS('Results (detail)'!$B$2:$B$311,A12,'Results (detail)'!$I$2:$I$311,"NOT RUN")+COUNTIFS('Results (detail)'!$B$2:$B$311,A12,'Results (detail)'!$I$2:$I$311,"ISSUE")</f>
        <v/>
      </c>
      <c r="Q12" s="6" t="inlineStr">
        <is>
          <t>PASS</t>
        </is>
      </c>
      <c r="R12" s="6" t="inlineStr">
        <is>
          <t>Admin page on production needs an admin sign-in</t>
        </is>
      </c>
      <c r="S12" s="6" t="inlineStr">
        <is>
          <t>docs/nearby-referral-2026-10/TEST_RESULTS.md §6-7</t>
        </is>
      </c>
    </row>
    <row r="13" ht="27" customHeight="1">
      <c r="A13" s="5" t="inlineStr">
        <is>
          <t>TR-12</t>
        </is>
      </c>
      <c r="B13" s="6" t="inlineStr">
        <is>
          <t>2026-10-11</t>
        </is>
      </c>
      <c r="C13" s="6" t="inlineStr">
        <is>
          <t>test.gokesari.com + gokesari.com</t>
        </is>
      </c>
      <c r="D13" s="6" t="inlineStr">
        <is>
          <t>Fix: referral codes / societies counted 0</t>
        </is>
      </c>
      <c r="E13" s="6" t="inlineStr">
        <is>
          <t>NEW-065</t>
        </is>
      </c>
      <c r="F13" s="6" t="inlineStr">
        <is>
          <t>#138, #139</t>
        </is>
      </c>
      <c r="G13" s="6" t="inlineStr">
        <is>
          <t>Integration tests + API + smoke</t>
        </is>
      </c>
      <c r="H13" s="6" t="n"/>
      <c r="I13" s="6" t="n"/>
      <c r="J13" s="6" t="n"/>
      <c r="K13" s="6" t="n"/>
      <c r="L13" s="6">
        <f>COUNTIF('Results (detail)'!$B$2:$B$311,A13)</f>
        <v/>
      </c>
      <c r="M13" s="6">
        <f>COUNTIFS('Results (detail)'!$B$2:$B$311,A13,'Results (detail)'!$I$2:$I$311,"PASS")</f>
        <v/>
      </c>
      <c r="N13" s="6">
        <f>COUNTIFS('Results (detail)'!$B$2:$B$311,A13,'Results (detail)'!$I$2:$I$311,"OK (recorded)")</f>
        <v/>
      </c>
      <c r="O13" s="6">
        <f>COUNTIFS('Results (detail)'!$B$2:$B$311,A13,'Results (detail)'!$I$2:$I$311,"FAIL")</f>
        <v/>
      </c>
      <c r="P13" s="6">
        <f>COUNTIFS('Results (detail)'!$B$2:$B$311,A13,'Results (detail)'!$I$2:$I$311,"BLOCKED")+COUNTIFS('Results (detail)'!$B$2:$B$311,A13,'Results (detail)'!$I$2:$I$311,"NOT RUN")+COUNTIFS('Results (detail)'!$B$2:$B$311,A13,'Results (detail)'!$I$2:$I$311,"ISSUE")</f>
        <v/>
      </c>
      <c r="Q13" s="6" t="inlineStr">
        <is>
          <t>PASS</t>
        </is>
      </c>
      <c r="R13" s="6" t="inlineStr">
        <is>
          <t>Same bug pattern in 3 other queries (GAP-016)</t>
        </is>
      </c>
      <c r="S13" s="6" t="inlineStr">
        <is>
          <t>docs/nearby-referral-2026-10/TEST_RESULTS.md §8</t>
        </is>
      </c>
    </row>
    <row r="14" ht="27" customHeight="1">
      <c r="A14" s="5" t="inlineStr">
        <is>
          <t>TR-13</t>
        </is>
      </c>
      <c r="B14" s="6" t="inlineStr">
        <is>
          <t>2026-10-12</t>
        </is>
      </c>
      <c r="C14" s="6" t="inlineStr">
        <is>
          <t>Local (cloud session, PostgreSQL 16)</t>
        </is>
      </c>
      <c r="D14" s="6" t="inlineStr">
        <is>
          <t>Seller Central and /sell</t>
        </is>
      </c>
      <c r="E14" s="6" t="inlineStr">
        <is>
          <t>NEW-060</t>
        </is>
      </c>
      <c r="F14" s="6" t="inlineStr">
        <is>
          <t>#142</t>
        </is>
      </c>
      <c r="G14" s="6" t="inlineStr">
        <is>
          <t>Automated (1,702 tests) + manual on a dev server</t>
        </is>
      </c>
      <c r="H14" s="6" t="n"/>
      <c r="I14" s="6" t="n"/>
      <c r="J14" s="6" t="n"/>
      <c r="K14" s="6" t="n"/>
      <c r="L14" s="6">
        <f>COUNTIF('Results (detail)'!$B$2:$B$311,A14)</f>
        <v/>
      </c>
      <c r="M14" s="6">
        <f>COUNTIFS('Results (detail)'!$B$2:$B$311,A14,'Results (detail)'!$I$2:$I$311,"PASS")</f>
        <v/>
      </c>
      <c r="N14" s="6">
        <f>COUNTIFS('Results (detail)'!$B$2:$B$311,A14,'Results (detail)'!$I$2:$I$311,"OK (recorded)")</f>
        <v/>
      </c>
      <c r="O14" s="6">
        <f>COUNTIFS('Results (detail)'!$B$2:$B$311,A14,'Results (detail)'!$I$2:$I$311,"FAIL")</f>
        <v/>
      </c>
      <c r="P14" s="6">
        <f>COUNTIFS('Results (detail)'!$B$2:$B$311,A14,'Results (detail)'!$I$2:$I$311,"BLOCKED")+COUNTIFS('Results (detail)'!$B$2:$B$311,A14,'Results (detail)'!$I$2:$I$311,"NOT RUN")+COUNTIFS('Results (detail)'!$B$2:$B$311,A14,'Results (detail)'!$I$2:$I$311,"ISSUE")</f>
        <v/>
      </c>
      <c r="Q14" s="6" t="inlineStr">
        <is>
          <t>PASS</t>
        </is>
      </c>
      <c r="R14" s="6" t="inlineStr">
        <is>
          <t>No staging or production run recorded</t>
        </is>
      </c>
      <c r="S14" s="6" t="inlineStr">
        <is>
          <t>docs/seller-central-2026-10/TEST_RESULTS.md</t>
        </is>
      </c>
    </row>
    <row r="15" ht="39" customHeight="1">
      <c r="A15" s="5" t="inlineStr">
        <is>
          <t>TR-14</t>
        </is>
      </c>
      <c r="B15" s="6" t="inlineStr">
        <is>
          <t>2026-10-13</t>
        </is>
      </c>
      <c r="C15" s="6" t="inlineStr">
        <is>
          <t>CI + local production build</t>
        </is>
      </c>
      <c r="D15" s="6" t="inlineStr">
        <is>
          <t>13 Oct release: automated suites and local browser flow</t>
        </is>
      </c>
      <c r="E15" s="6" t="inlineStr">
        <is>
          <t>NEW-062, NEW-063, NEW-064, PLT-015</t>
        </is>
      </c>
      <c r="F15" s="6" t="inlineStr">
        <is>
          <t>#146-#148</t>
        </is>
      </c>
      <c r="G15" s="6" t="inlineStr">
        <is>
          <t>Automated (1,743 unit/integration), E2E lifecycle 21/21, branding 16/16</t>
        </is>
      </c>
      <c r="H15" s="6" t="n"/>
      <c r="I15" s="6" t="n"/>
      <c r="J15" s="6" t="n"/>
      <c r="K15" s="6" t="n"/>
      <c r="L15" s="6">
        <f>COUNTIF('Results (detail)'!$B$2:$B$311,A15)</f>
        <v/>
      </c>
      <c r="M15" s="6">
        <f>COUNTIFS('Results (detail)'!$B$2:$B$311,A15,'Results (detail)'!$I$2:$I$311,"PASS")</f>
        <v/>
      </c>
      <c r="N15" s="6">
        <f>COUNTIFS('Results (detail)'!$B$2:$B$311,A15,'Results (detail)'!$I$2:$I$311,"OK (recorded)")</f>
        <v/>
      </c>
      <c r="O15" s="6">
        <f>COUNTIFS('Results (detail)'!$B$2:$B$311,A15,'Results (detail)'!$I$2:$I$311,"FAIL")</f>
        <v/>
      </c>
      <c r="P15" s="6">
        <f>COUNTIFS('Results (detail)'!$B$2:$B$311,A15,'Results (detail)'!$I$2:$I$311,"BLOCKED")+COUNTIFS('Results (detail)'!$B$2:$B$311,A15,'Results (detail)'!$I$2:$I$311,"NOT RUN")+COUNTIFS('Results (detail)'!$B$2:$B$311,A15,'Results (detail)'!$I$2:$I$311,"ISSUE")</f>
        <v/>
      </c>
      <c r="Q15" s="6" t="inlineStr">
        <is>
          <t>PASS</t>
        </is>
      </c>
      <c r="R15" s="6" t="inlineStr">
        <is>
          <t>Two stale lifecycle E2E steps left out</t>
        </is>
      </c>
      <c r="S15" s="6" t="inlineStr">
        <is>
          <t>docs/document-upload-2026-10/TEST_RESULTS.md (Automated)</t>
        </is>
      </c>
    </row>
    <row r="16" ht="27" customHeight="1">
      <c r="A16" s="5" t="inlineStr">
        <is>
          <t>TR-15</t>
        </is>
      </c>
      <c r="B16" s="6" t="inlineStr">
        <is>
          <t>2026-10-13</t>
        </is>
      </c>
      <c r="C16" s="6" t="inlineStr">
        <is>
          <t>test.gokesari.com</t>
        </is>
      </c>
      <c r="D16" s="6" t="inlineStr">
        <is>
          <t>13 Oct release on staging (first pass)</t>
        </is>
      </c>
      <c r="E16" s="6" t="inlineStr">
        <is>
          <t>NEW-062, NEW-063, NEW-064</t>
        </is>
      </c>
      <c r="F16" s="6" t="inlineStr">
        <is>
          <t>#146</t>
        </is>
      </c>
      <c r="G16" s="6" t="inlineStr">
        <is>
          <t>Browser + API</t>
        </is>
      </c>
      <c r="H16" s="6" t="n"/>
      <c r="I16" s="6" t="n"/>
      <c r="J16" s="6" t="n"/>
      <c r="K16" s="6" t="n"/>
      <c r="L16" s="6">
        <f>COUNTIF('Results (detail)'!$B$2:$B$311,A16)</f>
        <v/>
      </c>
      <c r="M16" s="6">
        <f>COUNTIFS('Results (detail)'!$B$2:$B$311,A16,'Results (detail)'!$I$2:$I$311,"PASS")</f>
        <v/>
      </c>
      <c r="N16" s="6">
        <f>COUNTIFS('Results (detail)'!$B$2:$B$311,A16,'Results (detail)'!$I$2:$I$311,"OK (recorded)")</f>
        <v/>
      </c>
      <c r="O16" s="6">
        <f>COUNTIFS('Results (detail)'!$B$2:$B$311,A16,'Results (detail)'!$I$2:$I$311,"FAIL")</f>
        <v/>
      </c>
      <c r="P16" s="6">
        <f>COUNTIFS('Results (detail)'!$B$2:$B$311,A16,'Results (detail)'!$I$2:$I$311,"BLOCKED")+COUNTIFS('Results (detail)'!$B$2:$B$311,A16,'Results (detail)'!$I$2:$I$311,"NOT RUN")+COUNTIFS('Results (detail)'!$B$2:$B$311,A16,'Results (detail)'!$I$2:$I$311,"ISSUE")</f>
        <v/>
      </c>
      <c r="Q16" s="6" t="inlineStr">
        <is>
          <t>FAIL</t>
        </is>
      </c>
      <c r="R16" s="6" t="inlineStr">
        <is>
          <t>Document read 504 at 60 s (fixed in #147)</t>
        </is>
      </c>
      <c r="S16" s="6" t="inlineStr">
        <is>
          <t>docs/document-upload-2026-10/TEST_RESULTS.md (Staging)</t>
        </is>
      </c>
    </row>
    <row r="17" ht="27" customHeight="1">
      <c r="A17" s="5" t="inlineStr">
        <is>
          <t>TR-16</t>
        </is>
      </c>
      <c r="B17" s="6" t="inlineStr">
        <is>
          <t>2026-10-13</t>
        </is>
      </c>
      <c r="C17" s="6" t="inlineStr">
        <is>
          <t>test.gokesari.com</t>
        </is>
      </c>
      <c r="D17" s="6" t="inlineStr">
        <is>
          <t>13 Oct release: staging re-check after #147 and #148</t>
        </is>
      </c>
      <c r="E17" s="6" t="inlineStr">
        <is>
          <t>NEW-062</t>
        </is>
      </c>
      <c r="F17" s="6" t="inlineStr">
        <is>
          <t>#147, #148</t>
        </is>
      </c>
      <c r="G17" s="6" t="inlineStr">
        <is>
          <t>Browser + API</t>
        </is>
      </c>
      <c r="H17" s="6" t="n"/>
      <c r="I17" s="6" t="n"/>
      <c r="J17" s="6" t="n"/>
      <c r="K17" s="6" t="n"/>
      <c r="L17" s="6">
        <f>COUNTIF('Results (detail)'!$B$2:$B$311,A17)</f>
        <v/>
      </c>
      <c r="M17" s="6">
        <f>COUNTIFS('Results (detail)'!$B$2:$B$311,A17,'Results (detail)'!$I$2:$I$311,"PASS")</f>
        <v/>
      </c>
      <c r="N17" s="6">
        <f>COUNTIFS('Results (detail)'!$B$2:$B$311,A17,'Results (detail)'!$I$2:$I$311,"OK (recorded)")</f>
        <v/>
      </c>
      <c r="O17" s="6">
        <f>COUNTIFS('Results (detail)'!$B$2:$B$311,A17,'Results (detail)'!$I$2:$I$311,"FAIL")</f>
        <v/>
      </c>
      <c r="P17" s="6">
        <f>COUNTIFS('Results (detail)'!$B$2:$B$311,A17,'Results (detail)'!$I$2:$I$311,"BLOCKED")+COUNTIFS('Results (detail)'!$B$2:$B$311,A17,'Results (detail)'!$I$2:$I$311,"NOT RUN")+COUNTIFS('Results (detail)'!$B$2:$B$311,A17,'Results (detail)'!$I$2:$I$311,"ISSUE")</f>
        <v/>
      </c>
      <c r="Q17" s="6" t="inlineStr">
        <is>
          <t>PASS with open items</t>
        </is>
      </c>
      <c r="R17" s="6" t="inlineStr">
        <is>
          <t>OCR worker does not start on Hostinger - owners type the details</t>
        </is>
      </c>
      <c r="S17" s="6" t="inlineStr">
        <is>
          <t>docs/document-upload-2026-10/TEST_RESULTS.md (Staging re-check)</t>
        </is>
      </c>
    </row>
    <row r="18" ht="27" customHeight="1">
      <c r="A18" s="5" t="inlineStr">
        <is>
          <t>TR-17</t>
        </is>
      </c>
      <c r="B18" s="6" t="inlineStr">
        <is>
          <t>2026-10-13</t>
        </is>
      </c>
      <c r="C18" s="6" t="inlineStr">
        <is>
          <t>gokesari.com</t>
        </is>
      </c>
      <c r="D18" s="6" t="inlineStr">
        <is>
          <t>13 Oct release on production (#149)</t>
        </is>
      </c>
      <c r="E18" s="6" t="inlineStr">
        <is>
          <t>NEW-062, NEW-063, NEW-064</t>
        </is>
      </c>
      <c r="F18" s="6" t="inlineStr">
        <is>
          <t>#149, #150, #151</t>
        </is>
      </c>
      <c r="G18" s="6" t="inlineStr">
        <is>
          <t>HTTP, screenshots, branding E2E</t>
        </is>
      </c>
      <c r="H18" s="6" t="n"/>
      <c r="I18" s="6" t="n"/>
      <c r="J18" s="6" t="n"/>
      <c r="K18" s="6" t="n"/>
      <c r="L18" s="6">
        <f>COUNTIF('Results (detail)'!$B$2:$B$311,A18)</f>
        <v/>
      </c>
      <c r="M18" s="6">
        <f>COUNTIFS('Results (detail)'!$B$2:$B$311,A18,'Results (detail)'!$I$2:$I$311,"PASS")</f>
        <v/>
      </c>
      <c r="N18" s="6">
        <f>COUNTIFS('Results (detail)'!$B$2:$B$311,A18,'Results (detail)'!$I$2:$I$311,"OK (recorded)")</f>
        <v/>
      </c>
      <c r="O18" s="6">
        <f>COUNTIFS('Results (detail)'!$B$2:$B$311,A18,'Results (detail)'!$I$2:$I$311,"FAIL")</f>
        <v/>
      </c>
      <c r="P18" s="6">
        <f>COUNTIFS('Results (detail)'!$B$2:$B$311,A18,'Results (detail)'!$I$2:$I$311,"BLOCKED")+COUNTIFS('Results (detail)'!$B$2:$B$311,A18,'Results (detail)'!$I$2:$I$311,"NOT RUN")+COUNTIFS('Results (detail)'!$B$2:$B$311,A18,'Results (detail)'!$I$2:$I$311,"ISSUE")</f>
        <v/>
      </c>
      <c r="Q18" s="6" t="inlineStr">
        <is>
          <t>PASS with open items</t>
        </is>
      </c>
      <c r="R18" s="6" t="inlineStr">
        <is>
          <t>Stray '·' in the footer on a 412 px phone - fixed in #150/#151 (E2E 16/16 on gokesari.com)</t>
        </is>
      </c>
      <c r="S18" s="6" t="inlineStr">
        <is>
          <t>docs/document-upload-2026-10/TEST_RESULTS.md (Production)</t>
        </is>
      </c>
    </row>
    <row r="19" ht="27" customHeight="1">
      <c r="A19" s="5" t="inlineStr">
        <is>
          <t>TR-18</t>
        </is>
      </c>
      <c r="B19" s="6" t="inlineStr">
        <is>
          <t>2026-10-13</t>
        </is>
      </c>
      <c r="C19" s="6" t="inlineStr">
        <is>
          <t>Test databases (Neon us-east-2)</t>
        </is>
      </c>
      <c r="D19" s="6" t="inlineStr">
        <is>
          <t>Seller / customer database split - test verification (run #5)</t>
        </is>
      </c>
      <c r="E19" s="6" t="inlineStr">
        <is>
          <t>PLT-015</t>
        </is>
      </c>
      <c r="F19" s="6" t="inlineStr">
        <is>
          <t>#146, #152, #154</t>
        </is>
      </c>
      <c r="G19" s="6" t="inlineStr">
        <is>
          <t>Database split workflow: migrate + verify</t>
        </is>
      </c>
      <c r="H19" s="6" t="n">
        <v>190</v>
      </c>
      <c r="I19" s="6" t="n">
        <v>190</v>
      </c>
      <c r="J19" s="6" t="n">
        <v>0</v>
      </c>
      <c r="K19" s="6" t="n">
        <v>0</v>
      </c>
      <c r="L19" s="6">
        <f>COUNTIF('Results (detail)'!$B$2:$B$311,A19)</f>
        <v/>
      </c>
      <c r="M19" s="6">
        <f>COUNTIFS('Results (detail)'!$B$2:$B$311,A19,'Results (detail)'!$I$2:$I$311,"PASS")</f>
        <v/>
      </c>
      <c r="N19" s="6">
        <f>COUNTIFS('Results (detail)'!$B$2:$B$311,A19,'Results (detail)'!$I$2:$I$311,"OK (recorded)")</f>
        <v/>
      </c>
      <c r="O19" s="6">
        <f>COUNTIFS('Results (detail)'!$B$2:$B$311,A19,'Results (detail)'!$I$2:$I$311,"FAIL")</f>
        <v/>
      </c>
      <c r="P19" s="6">
        <f>COUNTIFS('Results (detail)'!$B$2:$B$311,A19,'Results (detail)'!$I$2:$I$311,"BLOCKED")+COUNTIFS('Results (detail)'!$B$2:$B$311,A19,'Results (detail)'!$I$2:$I$311,"NOT RUN")+COUNTIFS('Results (detail)'!$B$2:$B$311,A19,'Results (detail)'!$I$2:$I$311,"ISSUE")</f>
        <v/>
      </c>
      <c r="Q19" s="6" t="inlineStr">
        <is>
          <t>PASS</t>
        </is>
      </c>
      <c r="R19" s="6" t="inlineStr">
        <is>
          <t>29,996 rows, every checksum equal, 0 missing parents on 111 cross-database links</t>
        </is>
      </c>
      <c r="S19" s="6" t="inlineStr">
        <is>
          <t>docs/db-split-2026-10/VERIFICATION_REPORT_test_2026-10-13.md</t>
        </is>
      </c>
    </row>
    <row r="20" ht="51" customHeight="1">
      <c r="A20" s="5" t="inlineStr">
        <is>
          <t>TR-19</t>
        </is>
      </c>
      <c r="B20" s="6" t="inlineStr">
        <is>
          <t>2026-10-14</t>
        </is>
      </c>
      <c r="C20" s="6" t="inlineStr">
        <is>
          <t>Production databases (Neon us-east-2)</t>
        </is>
      </c>
      <c r="D20" s="6" t="inlineStr">
        <is>
          <t>Seller / customer database split - production verification (run #19) + cross-database reads (run #20)</t>
        </is>
      </c>
      <c r="E20" s="6" t="inlineStr">
        <is>
          <t>PLT-015</t>
        </is>
      </c>
      <c r="F20" s="6" t="inlineStr">
        <is>
          <t>#157-#164</t>
        </is>
      </c>
      <c r="G20" s="6" t="inlineStr">
        <is>
          <t>Database split workflow: migrate + verify, fdw</t>
        </is>
      </c>
      <c r="H20" s="6" t="n">
        <v>190</v>
      </c>
      <c r="I20" s="6" t="n">
        <v>190</v>
      </c>
      <c r="J20" s="6" t="n">
        <v>0</v>
      </c>
      <c r="K20" s="6" t="n">
        <v>0</v>
      </c>
      <c r="L20" s="6">
        <f>COUNTIF('Results (detail)'!$B$2:$B$311,A20)</f>
        <v/>
      </c>
      <c r="M20" s="6">
        <f>COUNTIFS('Results (detail)'!$B$2:$B$311,A20,'Results (detail)'!$I$2:$I$311,"PASS")</f>
        <v/>
      </c>
      <c r="N20" s="6">
        <f>COUNTIFS('Results (detail)'!$B$2:$B$311,A20,'Results (detail)'!$I$2:$I$311,"OK (recorded)")</f>
        <v/>
      </c>
      <c r="O20" s="6">
        <f>COUNTIFS('Results (detail)'!$B$2:$B$311,A20,'Results (detail)'!$I$2:$I$311,"FAIL")</f>
        <v/>
      </c>
      <c r="P20" s="6">
        <f>COUNTIFS('Results (detail)'!$B$2:$B$311,A20,'Results (detail)'!$I$2:$I$311,"BLOCKED")+COUNTIFS('Results (detail)'!$B$2:$B$311,A20,'Results (detail)'!$I$2:$I$311,"NOT RUN")+COUNTIFS('Results (detail)'!$B$2:$B$311,A20,'Results (detail)'!$I$2:$I$311,"ISSUE")</f>
        <v/>
      </c>
      <c r="Q20" s="6" t="inlineStr">
        <is>
          <t>PASS</t>
        </is>
      </c>
      <c r="R20" s="6" t="inlineStr">
        <is>
          <t>486 rows, every checksum equal, 0 missing parents on 111 links. Site still on one database. Please confirm the split databases' names (shown as PROD_SELLER_DATABASE_URL / PROD_CUSTOMER_DATABASE_URL)</t>
        </is>
      </c>
      <c r="S20" s="6" t="inlineStr">
        <is>
          <t>docs/db-split-2026-10/VERIFICATION_REPORT_production_2026-10-14.md</t>
        </is>
      </c>
    </row>
    <row r="21" ht="27" customHeight="1">
      <c r="A21" s="5" t="inlineStr">
        <is>
          <t>TR-20</t>
        </is>
      </c>
      <c r="B21" s="6" t="inlineStr">
        <is>
          <t>2026-10-08</t>
        </is>
      </c>
      <c r="C21" s="6" t="inlineStr">
        <is>
          <t>CI (staging 76e2cc5)</t>
        </is>
      </c>
      <c r="D21" s="6" t="inlineStr">
        <is>
          <t>Automated suite on the staging merge of #104</t>
        </is>
      </c>
      <c r="E21" s="6" t="inlineStr">
        <is>
          <t>QA-001</t>
        </is>
      </c>
      <c r="F21" s="6" t="inlineStr">
        <is>
          <t>#104</t>
        </is>
      </c>
      <c r="G21" s="6" t="inlineStr">
        <is>
          <t>Automated (vitest)</t>
        </is>
      </c>
      <c r="H21" s="6" t="n">
        <v>1484</v>
      </c>
      <c r="I21" s="6" t="n">
        <v>1483</v>
      </c>
      <c r="J21" s="6" t="n">
        <v>1</v>
      </c>
      <c r="K21" s="6" t="n">
        <v>0</v>
      </c>
      <c r="L21" s="6">
        <f>COUNTIF('Results (detail)'!$B$2:$B$311,A21)</f>
        <v/>
      </c>
      <c r="M21" s="6">
        <f>COUNTIFS('Results (detail)'!$B$2:$B$311,A21,'Results (detail)'!$I$2:$I$311,"PASS")</f>
        <v/>
      </c>
      <c r="N21" s="6">
        <f>COUNTIFS('Results (detail)'!$B$2:$B$311,A21,'Results (detail)'!$I$2:$I$311,"OK (recorded)")</f>
        <v/>
      </c>
      <c r="O21" s="6">
        <f>COUNTIFS('Results (detail)'!$B$2:$B$311,A21,'Results (detail)'!$I$2:$I$311,"FAIL")</f>
        <v/>
      </c>
      <c r="P21" s="6">
        <f>COUNTIFS('Results (detail)'!$B$2:$B$311,A21,'Results (detail)'!$I$2:$I$311,"BLOCKED")+COUNTIFS('Results (detail)'!$B$2:$B$311,A21,'Results (detail)'!$I$2:$I$311,"NOT RUN")+COUNTIFS('Results (detail)'!$B$2:$B$311,A21,'Results (detail)'!$I$2:$I$311,"ISSUE")</f>
        <v/>
      </c>
      <c r="Q21" s="6" t="inlineStr">
        <is>
          <t>FAIL</t>
        </is>
      </c>
      <c r="R21" s="6" t="inlineStr">
        <is>
          <t>Flaky login-profile test (background email reached the next test's outbox) - fixed by bf8df50, merged with #92 on 9 Oct</t>
        </is>
      </c>
      <c r="S21" s="6" t="inlineStr">
        <is>
          <t>Actions run 37855030692</t>
        </is>
      </c>
    </row>
    <row r="22" ht="27" customHeight="1">
      <c r="A22" s="5" t="inlineStr">
        <is>
          <t>TR-21</t>
        </is>
      </c>
      <c r="B22" s="6" t="inlineStr">
        <is>
          <t>-</t>
        </is>
      </c>
      <c r="C22" s="6" t="inlineStr">
        <is>
          <t>test.gokesari.com</t>
        </is>
      </c>
      <c r="D22" s="6" t="inlineStr">
        <is>
          <t>791-case test plan (smoke, P0, P1, P2) and 35 end-to-end scenarios</t>
        </is>
      </c>
      <c r="E22" s="6" t="inlineStr">
        <is>
          <t>All</t>
        </is>
      </c>
      <c r="F22" s="6" t="inlineStr">
        <is>
          <t>-</t>
        </is>
      </c>
      <c r="G22" s="6" t="inlineStr">
        <is>
          <t>Manual / browser</t>
        </is>
      </c>
      <c r="H22" s="6" t="n">
        <v>791</v>
      </c>
      <c r="I22" s="6" t="n">
        <v>0</v>
      </c>
      <c r="J22" s="6" t="n">
        <v>0</v>
      </c>
      <c r="K22" s="6" t="n">
        <v>791</v>
      </c>
      <c r="L22" s="6">
        <f>COUNTIF('Results (detail)'!$B$2:$B$311,A22)</f>
        <v/>
      </c>
      <c r="M22" s="6">
        <f>COUNTIFS('Results (detail)'!$B$2:$B$311,A22,'Results (detail)'!$I$2:$I$311,"PASS")</f>
        <v/>
      </c>
      <c r="N22" s="6">
        <f>COUNTIFS('Results (detail)'!$B$2:$B$311,A22,'Results (detail)'!$I$2:$I$311,"OK (recorded)")</f>
        <v/>
      </c>
      <c r="O22" s="6">
        <f>COUNTIFS('Results (detail)'!$B$2:$B$311,A22,'Results (detail)'!$I$2:$I$311,"FAIL")</f>
        <v/>
      </c>
      <c r="P22" s="6">
        <f>COUNTIFS('Results (detail)'!$B$2:$B$311,A22,'Results (detail)'!$I$2:$I$311,"BLOCKED")+COUNTIFS('Results (detail)'!$B$2:$B$311,A22,'Results (detail)'!$I$2:$I$311,"NOT RUN")+COUNTIFS('Results (detail)'!$B$2:$B$311,A22,'Results (detail)'!$I$2:$I$311,"ISSUE")</f>
        <v/>
      </c>
      <c r="Q22" s="6" t="inlineStr">
        <is>
          <t>NOT RUN</t>
        </is>
      </c>
      <c r="R22" s="6" t="inlineStr">
        <is>
          <t>Not executed; see the '791-case plan' sheet</t>
        </is>
      </c>
      <c r="S22" s="6" t="inlineStr">
        <is>
          <t>test-cases.xlsx</t>
        </is>
      </c>
    </row>
    <row r="23" ht="27" customHeight="1">
      <c r="A23" s="5" t="inlineStr">
        <is>
          <t>TR-22</t>
        </is>
      </c>
      <c r="B23" s="6" t="inlineStr">
        <is>
          <t>-</t>
        </is>
      </c>
      <c r="C23" s="6" t="inlineStr">
        <is>
          <t>test.gokesari.com</t>
        </is>
      </c>
      <c r="D23" s="6" t="inlineStr">
        <is>
          <t>Order lifecycle on staging: sign-up -&gt; order -&gt; delivery code -&gt; done</t>
        </is>
      </c>
      <c r="E23" s="6" t="inlineStr">
        <is>
          <t>QA-008</t>
        </is>
      </c>
      <c r="F23" s="6" t="inlineStr">
        <is>
          <t>-</t>
        </is>
      </c>
      <c r="G23" s="6" t="inlineStr">
        <is>
          <t>Browser + Cashfree sandbox</t>
        </is>
      </c>
      <c r="H23" s="6" t="n"/>
      <c r="I23" s="6" t="n"/>
      <c r="J23" s="6" t="n"/>
      <c r="K23" s="6" t="n"/>
      <c r="L23" s="6">
        <f>COUNTIF('Results (detail)'!$B$2:$B$311,A23)</f>
        <v/>
      </c>
      <c r="M23" s="6">
        <f>COUNTIFS('Results (detail)'!$B$2:$B$311,A23,'Results (detail)'!$I$2:$I$311,"PASS")</f>
        <v/>
      </c>
      <c r="N23" s="6">
        <f>COUNTIFS('Results (detail)'!$B$2:$B$311,A23,'Results (detail)'!$I$2:$I$311,"OK (recorded)")</f>
        <v/>
      </c>
      <c r="O23" s="6">
        <f>COUNTIFS('Results (detail)'!$B$2:$B$311,A23,'Results (detail)'!$I$2:$I$311,"FAIL")</f>
        <v/>
      </c>
      <c r="P23" s="6">
        <f>COUNTIFS('Results (detail)'!$B$2:$B$311,A23,'Results (detail)'!$I$2:$I$311,"BLOCKED")+COUNTIFS('Results (detail)'!$B$2:$B$311,A23,'Results (detail)'!$I$2:$I$311,"NOT RUN")+COUNTIFS('Results (detail)'!$B$2:$B$311,A23,'Results (detail)'!$I$2:$I$311,"ISSUE")</f>
        <v/>
      </c>
      <c r="Q23" s="6" t="inlineStr">
        <is>
          <t>NOT RUN</t>
        </is>
      </c>
      <c r="R23" s="6" t="inlineStr">
        <is>
          <t>Run locally only (21/21); staging run is next</t>
        </is>
      </c>
      <c r="S23" s="6" t="inlineStr">
        <is>
          <t>docs/document-upload-2026-10/TEST_RESULTS.md (Not run yet)</t>
        </is>
      </c>
    </row>
  </sheetData>
  <autoFilter ref="A1:S23"/>
  <conditionalFormatting sqref="Q2:Q23">
    <cfRule type="cellIs" priority="1" operator="equal" dxfId="0">
      <formula>"PASS"</formula>
    </cfRule>
    <cfRule type="cellIs" priority="2" operator="equal" dxfId="1">
      <formula>"PASS with open items"</formula>
    </cfRule>
    <cfRule type="cellIs" priority="3" operator="equal" dxfId="2">
      <formula>"FAIL"</formula>
    </cfRule>
    <cfRule type="cellIs" priority="4" operator="equal" dxfId="1">
      <formula>"BLOCKED"</formula>
    </cfRule>
    <cfRule type="cellIs" priority="5" operator="equal" dxfId="3">
      <formula>"NOT RUN"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34" customWidth="1" min="3" max="3"/>
    <col width="30" customWidth="1" min="4" max="4"/>
    <col width="9" customWidth="1" min="5" max="5"/>
    <col width="22" customWidth="1" min="6" max="6"/>
    <col width="50" customWidth="1" min="7" max="7"/>
    <col width="60" customWidth="1" min="8" max="8"/>
    <col width="13" customWidth="1" min="9" max="9"/>
  </cols>
  <sheetData>
    <row r="1" ht="30" customHeight="1">
      <c r="A1" s="4" t="inlineStr">
        <is>
          <t>#</t>
        </is>
      </c>
      <c r="B1" s="4" t="inlineStr">
        <is>
          <t>Run ID</t>
        </is>
      </c>
      <c r="C1" s="4" t="inlineStr">
        <is>
          <t>Source</t>
        </is>
      </c>
      <c r="D1" s="4" t="inlineStr">
        <is>
          <t>Section</t>
        </is>
      </c>
      <c r="E1" s="4" t="inlineStr">
        <is>
          <t>Time (UTC)</t>
        </is>
      </c>
      <c r="F1" s="4" t="inlineStr">
        <is>
          <t>Area / flow</t>
        </is>
      </c>
      <c r="G1" s="4" t="inlineStr">
        <is>
          <t>Step / check</t>
        </is>
      </c>
      <c r="H1" s="4" t="inlineStr">
        <is>
          <t>Result as recorded</t>
        </is>
      </c>
      <c r="I1" s="4" t="inlineStr">
        <is>
          <t>Outcome</t>
        </is>
      </c>
    </row>
    <row r="2" ht="27" customHeight="1">
      <c r="A2" s="6" t="inlineStr">
        <is>
          <t>RES-0001</t>
        </is>
      </c>
      <c r="B2" s="6" t="inlineStr">
        <is>
          <t>TR-02</t>
        </is>
      </c>
      <c r="C2" s="6" t="inlineStr">
        <is>
          <t>docs/four-features-2026-10/TEST_RESULTS.md</t>
        </is>
      </c>
      <c r="D2" s="6" t="inlineStr">
        <is>
          <t>2. Step by step (UTC times, 8 Oct 2026)</t>
        </is>
      </c>
      <c r="E2" s="6" t="inlineStr">
        <is>
          <t>18:59</t>
        </is>
      </c>
      <c r="F2" s="6" t="inlineStr">
        <is>
          <t>Regression · login</t>
        </is>
      </c>
      <c r="G2" s="6" t="inlineStr">
        <is>
          <t>Customer sanjaymorankar+gk-cust signs in with the emailed code (phone width)</t>
        </is>
      </c>
      <c r="H2" s="6" t="inlineStr">
        <is>
          <t>PASS — code emailed, signed in, sent to /onboarding</t>
        </is>
      </c>
      <c r="I2" s="6" t="inlineStr">
        <is>
          <t>PASS</t>
        </is>
      </c>
    </row>
    <row r="3" ht="27" customHeight="1">
      <c r="A3" s="6" t="inlineStr">
        <is>
          <t>RES-0002</t>
        </is>
      </c>
      <c r="B3" s="6" t="inlineStr">
        <is>
          <t>TR-02</t>
        </is>
      </c>
      <c r="C3" s="6" t="inlineStr">
        <is>
          <t>docs/four-features-2026-10/TEST_RESULTS.md</t>
        </is>
      </c>
      <c r="D3" s="6" t="inlineStr">
        <is>
          <t>2. Step by step (UTC times, 8 Oct 2026)</t>
        </is>
      </c>
      <c r="E3" s="6" t="inlineStr">
        <is>
          <t>19:19</t>
        </is>
      </c>
      <c r="F3" s="6" t="inlineStr">
        <is>
          <t>Regression · profile</t>
        </is>
      </c>
      <c r="G3" s="6" t="inlineStr">
        <is>
          <t>Onboarding: name + mobile 7397100101 saved</t>
        </is>
      </c>
      <c r="H3" s="6" t="inlineStr">
        <is>
          <t>PASS</t>
        </is>
      </c>
      <c r="I3" s="6" t="inlineStr">
        <is>
          <t>PASS</t>
        </is>
      </c>
    </row>
    <row r="4" ht="27" customHeight="1">
      <c r="A4" s="6" t="inlineStr">
        <is>
          <t>RES-0003</t>
        </is>
      </c>
      <c r="B4" s="6" t="inlineStr">
        <is>
          <t>TR-02</t>
        </is>
      </c>
      <c r="C4" s="6" t="inlineStr">
        <is>
          <t>docs/four-features-2026-10/TEST_RESULTS.md</t>
        </is>
      </c>
      <c r="D4" s="6" t="inlineStr">
        <is>
          <t>2. Step by step (UTC times, 8 Oct 2026)</t>
        </is>
      </c>
      <c r="E4" s="6" t="inlineStr">
        <is>
          <t>19:22</t>
        </is>
      </c>
      <c r="F4" s="6" t="inlineStr">
        <is>
          <t>Regression · address</t>
        </is>
      </c>
      <c r="G4" s="6" t="inlineStr">
        <is>
          <t>Map "Confirm location" (geo-tag) on /profile/addresses</t>
        </is>
      </c>
      <c r="H4" s="6" t="inlineStr">
        <is>
          <t>PRE-EXISTING ISSUE on test (old code): "Something went wrong. Please try again." — geo-tag optional</t>
        </is>
      </c>
      <c r="I4" s="6" t="inlineStr">
        <is>
          <t>ISSUE</t>
        </is>
      </c>
    </row>
    <row r="5" ht="27" customHeight="1">
      <c r="A5" s="6" t="inlineStr">
        <is>
          <t>RES-0004</t>
        </is>
      </c>
      <c r="B5" s="6" t="inlineStr">
        <is>
          <t>TR-02</t>
        </is>
      </c>
      <c r="C5" s="6" t="inlineStr">
        <is>
          <t>docs/four-features-2026-10/TEST_RESULTS.md</t>
        </is>
      </c>
      <c r="D5" s="6" t="inlineStr">
        <is>
          <t>2. Step by step (UTC times, 8 Oct 2026)</t>
        </is>
      </c>
      <c r="E5" s="6" t="inlineStr">
        <is>
          <t>19:23</t>
        </is>
      </c>
      <c r="F5" s="6" t="inlineStr">
        <is>
          <t>Regression · address</t>
        </is>
      </c>
      <c r="G5" s="6" t="inlineStr">
        <is>
          <t>Address saved without geo-tag, default</t>
        </is>
      </c>
      <c r="H5" s="6" t="inlineStr">
        <is>
          <t>PASS</t>
        </is>
      </c>
      <c r="I5" s="6" t="inlineStr">
        <is>
          <t>PASS</t>
        </is>
      </c>
    </row>
    <row r="6" ht="39" customHeight="1">
      <c r="A6" s="6" t="inlineStr">
        <is>
          <t>RES-0005</t>
        </is>
      </c>
      <c r="B6" s="6" t="inlineStr">
        <is>
          <t>TR-02</t>
        </is>
      </c>
      <c r="C6" s="6" t="inlineStr">
        <is>
          <t>docs/four-features-2026-10/TEST_RESULTS.md</t>
        </is>
      </c>
      <c r="D6" s="6" t="inlineStr">
        <is>
          <t>2. Step by step (UTC times, 8 Oct 2026)</t>
        </is>
      </c>
      <c r="E6" s="6" t="inlineStr">
        <is>
          <t>19:24</t>
        </is>
      </c>
      <c r="F6" s="6" t="inlineStr">
        <is>
          <t>Regression · wallet</t>
        </is>
      </c>
      <c r="G6" s="6" t="inlineStr">
        <is>
          <t>₹500 top-up: gateway order (Cashfree sandbox) → paid by UPI collect testsuccess@gocash (sandbox-pay workflow run 37831015803) → /api/wallet/verify</t>
        </is>
      </c>
      <c r="H6" s="6" t="inlineStr">
        <is>
          <t>PASS — balance ₹0 → ₹500, alreadyProcessed false</t>
        </is>
      </c>
      <c r="I6" s="6" t="inlineStr">
        <is>
          <t>PASS</t>
        </is>
      </c>
    </row>
    <row r="7" ht="27" customHeight="1">
      <c r="A7" s="6" t="inlineStr">
        <is>
          <t>RES-0006</t>
        </is>
      </c>
      <c r="B7" s="6" t="inlineStr">
        <is>
          <t>TR-02</t>
        </is>
      </c>
      <c r="C7" s="6" t="inlineStr">
        <is>
          <t>docs/four-features-2026-10/TEST_RESULTS.md</t>
        </is>
      </c>
      <c r="D7" s="6" t="inlineStr">
        <is>
          <t>2. Step by step (UTC times, 8 Oct 2026)</t>
        </is>
      </c>
      <c r="E7" s="6" t="inlineStr">
        <is>
          <t>19:35</t>
        </is>
      </c>
      <c r="F7" s="6" t="inlineStr">
        <is>
          <t>Deploy</t>
        </is>
      </c>
      <c r="G7" s="6" t="inlineStr">
        <is>
          <t>PR #102 merged into staging (58bb4c0); Hostinger rebuilt test.gokesari.com — new routes live 19:38</t>
        </is>
      </c>
      <c r="H7" s="6" t="inlineStr">
        <is>
          <t>PASS</t>
        </is>
      </c>
      <c r="I7" s="6" t="inlineStr">
        <is>
          <t>PASS</t>
        </is>
      </c>
    </row>
    <row r="8" ht="39" customHeight="1">
      <c r="A8" s="6" t="inlineStr">
        <is>
          <t>RES-0007</t>
        </is>
      </c>
      <c r="B8" s="6" t="inlineStr">
        <is>
          <t>TR-02</t>
        </is>
      </c>
      <c r="C8" s="6" t="inlineStr">
        <is>
          <t>docs/four-features-2026-10/TEST_RESULTS.md</t>
        </is>
      </c>
      <c r="D8" s="6" t="inlineStr">
        <is>
          <t>2. Step by step (UTC times, 8 Oct 2026)</t>
        </is>
      </c>
      <c r="E8" s="6" t="inlineStr">
        <is>
          <t>19:36</t>
        </is>
      </c>
      <c r="F8" s="6" t="inlineStr">
        <is>
          <t>Deploy · DB</t>
        </is>
      </c>
      <c r="G8" s="6" t="inlineStr">
        <is>
          <t>Test database run 37833141417: backup gokesari_test_2026-10-08_1936_run11.dump → migrate (67 rows, newest 0064) → four rules on → E2E admin/operator roles → verify</t>
        </is>
      </c>
      <c r="H8" s="6" t="inlineStr">
        <is>
          <t>PASS</t>
        </is>
      </c>
      <c r="I8" s="6" t="inlineStr">
        <is>
          <t>PASS</t>
        </is>
      </c>
    </row>
    <row r="9" ht="27" customHeight="1">
      <c r="A9" s="6" t="inlineStr">
        <is>
          <t>RES-0008</t>
        </is>
      </c>
      <c r="B9" s="6" t="inlineStr">
        <is>
          <t>TR-02</t>
        </is>
      </c>
      <c r="C9" s="6" t="inlineStr">
        <is>
          <t>docs/four-features-2026-10/TEST_RESULTS.md</t>
        </is>
      </c>
      <c r="D9" s="6" t="inlineStr">
        <is>
          <t>2. Step by step (UTC times, 8 Oct 2026)</t>
        </is>
      </c>
      <c r="E9" s="6" t="inlineStr">
        <is>
          <t>19:39</t>
        </is>
      </c>
      <c r="F9" s="6" t="inlineStr">
        <is>
          <t>Admin</t>
        </is>
      </c>
      <c r="G9" s="6" t="inlineStr">
        <is>
          <t>/admin/settings shows fulfilmentOptions, legalDocuments, bankAccounts, shopReferral with test values</t>
        </is>
      </c>
      <c r="H9" s="6" t="inlineStr">
        <is>
          <t>PASS</t>
        </is>
      </c>
      <c r="I9" s="6" t="inlineStr">
        <is>
          <t>PASS</t>
        </is>
      </c>
    </row>
    <row r="10" ht="27" customHeight="1">
      <c r="A10" s="6" t="inlineStr">
        <is>
          <t>RES-0009</t>
        </is>
      </c>
      <c r="B10" s="6" t="inlineStr">
        <is>
          <t>TR-02</t>
        </is>
      </c>
      <c r="C10" s="6" t="inlineStr">
        <is>
          <t>docs/four-features-2026-10/TEST_RESULTS.md</t>
        </is>
      </c>
      <c r="D10" s="6" t="inlineStr">
        <is>
          <t>2. Step by step (UTC times, 8 Oct 2026)</t>
        </is>
      </c>
      <c r="E10" s="6" t="inlineStr">
        <is>
          <t>19:40</t>
        </is>
      </c>
      <c r="F10" s="6" t="inlineStr">
        <is>
          <t>F4 setup · admin</t>
        </is>
      </c>
      <c r="G10" s="6" t="inlineStr">
        <is>
          <t>Referral code E2ETEST1 created (Admin → Referral codes)</t>
        </is>
      </c>
      <c r="H10" s="6" t="inlineStr">
        <is>
          <t>PASS</t>
        </is>
      </c>
      <c r="I10" s="6" t="inlineStr">
        <is>
          <t>PASS</t>
        </is>
      </c>
    </row>
    <row r="11" ht="27" customHeight="1">
      <c r="A11" s="6" t="inlineStr">
        <is>
          <t>RES-0010</t>
        </is>
      </c>
      <c r="B11" s="6" t="inlineStr">
        <is>
          <t>TR-02</t>
        </is>
      </c>
      <c r="C11" s="6" t="inlineStr">
        <is>
          <t>docs/four-features-2026-10/TEST_RESULTS.md</t>
        </is>
      </c>
      <c r="D11" s="6" t="inlineStr">
        <is>
          <t>2. Step by step (UTC times, 8 Oct 2026)</t>
        </is>
      </c>
      <c r="E11" s="6" t="inlineStr">
        <is>
          <t>19:40</t>
        </is>
      </c>
      <c r="F11" s="6" t="inlineStr">
        <is>
          <t>Regression · rider</t>
        </is>
      </c>
      <c r="G11" s="6" t="inlineStr">
        <is>
          <t>Admin approves delivery partner "E2E Rider Vijay"</t>
        </is>
      </c>
      <c r="H11" s="6" t="inlineStr">
        <is>
          <t>PASS</t>
        </is>
      </c>
      <c r="I11" s="6" t="inlineStr">
        <is>
          <t>PASS</t>
        </is>
      </c>
    </row>
    <row r="12" ht="27" customHeight="1">
      <c r="A12" s="6" t="inlineStr">
        <is>
          <t>RES-0011</t>
        </is>
      </c>
      <c r="B12" s="6" t="inlineStr">
        <is>
          <t>TR-02</t>
        </is>
      </c>
      <c r="C12" s="6" t="inlineStr">
        <is>
          <t>docs/four-features-2026-10/TEST_RESULTS.md</t>
        </is>
      </c>
      <c r="D12" s="6" t="inlineStr">
        <is>
          <t>2. Step by step (UTC times, 8 Oct 2026)</t>
        </is>
      </c>
      <c r="E12" s="6" t="inlineStr">
        <is>
          <t>19:42</t>
        </is>
      </c>
      <c r="F12" s="6" t="inlineStr">
        <is>
          <t>F4 · registration (desktop)</t>
        </is>
      </c>
      <c r="G12" s="6" t="inlineStr">
        <is>
          <t>Empty code → blocked in browser ("A referral code is required…"), 0 requests sent</t>
        </is>
      </c>
      <c r="H12" s="6" t="inlineStr">
        <is>
          <t>PASS</t>
        </is>
      </c>
      <c r="I12" s="6" t="inlineStr">
        <is>
          <t>PASS</t>
        </is>
      </c>
    </row>
    <row r="13" ht="27" customHeight="1">
      <c r="A13" s="6" t="inlineStr">
        <is>
          <t>RES-0012</t>
        </is>
      </c>
      <c r="B13" s="6" t="inlineStr">
        <is>
          <t>TR-02</t>
        </is>
      </c>
      <c r="C13" s="6" t="inlineStr">
        <is>
          <t>docs/four-features-2026-10/TEST_RESULTS.md</t>
        </is>
      </c>
      <c r="D13" s="6" t="inlineStr">
        <is>
          <t>2. Step by step (UTC times, 8 Oct 2026)</t>
        </is>
      </c>
      <c r="E13" s="6" t="inlineStr">
        <is>
          <t>19:42</t>
        </is>
      </c>
      <c r="F13" s="6" t="inlineStr">
        <is>
          <t>F4 · registration</t>
        </is>
      </c>
      <c r="G13" s="6" t="inlineStr">
        <is>
          <t>Invalid NOPE123 → "Referral code NOPE123 does not exist.", blocked, 0 requests</t>
        </is>
      </c>
      <c r="H13" s="6" t="inlineStr">
        <is>
          <t>PASS (bug found: the old error stayed visible after correcting the code until re-submit — fixed in follow-up)</t>
        </is>
      </c>
      <c r="I13" s="6" t="inlineStr">
        <is>
          <t>PASS</t>
        </is>
      </c>
    </row>
    <row r="14" ht="39" customHeight="1">
      <c r="A14" s="6" t="inlineStr">
        <is>
          <t>RES-0013</t>
        </is>
      </c>
      <c r="B14" s="6" t="inlineStr">
        <is>
          <t>TR-02</t>
        </is>
      </c>
      <c r="C14" s="6" t="inlineStr">
        <is>
          <t>docs/four-features-2026-10/TEST_RESULTS.md</t>
        </is>
      </c>
      <c r="D14" s="6" t="inlineStr">
        <is>
          <t>2. Step by step (UTC times, 8 Oct 2026)</t>
        </is>
      </c>
      <c r="E14" s="6" t="inlineStr">
        <is>
          <t>19:42</t>
        </is>
      </c>
      <c r="F14" s="6" t="inlineStr">
        <is>
          <t>F4 · registration</t>
        </is>
      </c>
      <c r="G14" s="6" t="inlineStr">
        <is>
          <t>Valid E2ETEST1 → shop "E2E Four Features Bakery" registered (PENDING_APPROVAL), attributed to E2ETEST1 (report: shops_attributed 1)</t>
        </is>
      </c>
      <c r="H14" s="6" t="inlineStr">
        <is>
          <t>PASS</t>
        </is>
      </c>
      <c r="I14" s="6" t="inlineStr">
        <is>
          <t>PASS</t>
        </is>
      </c>
    </row>
    <row r="15" ht="39" customHeight="1">
      <c r="A15" s="6" t="inlineStr">
        <is>
          <t>RES-0014</t>
        </is>
      </c>
      <c r="B15" s="6" t="inlineStr">
        <is>
          <t>TR-02</t>
        </is>
      </c>
      <c r="C15" s="6" t="inlineStr">
        <is>
          <t>docs/four-features-2026-10/TEST_RESULTS.md</t>
        </is>
      </c>
      <c r="D15" s="6" t="inlineStr">
        <is>
          <t>2. Step by step (UTC times, 8 Oct 2026)</t>
        </is>
      </c>
      <c r="E15" s="6" t="inlineStr">
        <is>
          <t>19:42</t>
        </is>
      </c>
      <c r="F15" s="6" t="inlineStr">
        <is>
          <t>F4 · API</t>
        </is>
      </c>
      <c r="G15" s="6" t="inlineStr">
        <is>
          <t>POST /api/shops without code → 422 "Enter your referral code, or request one."; invalid → 422 "Referral code NOPE123 does not exist. Check the code, or request one."</t>
        </is>
      </c>
      <c r="H15" s="6" t="inlineStr">
        <is>
          <t>PASS</t>
        </is>
      </c>
      <c r="I15" s="6" t="inlineStr">
        <is>
          <t>PASS</t>
        </is>
      </c>
    </row>
    <row r="16" ht="27" customHeight="1">
      <c r="A16" s="6" t="inlineStr">
        <is>
          <t>RES-0015</t>
        </is>
      </c>
      <c r="B16" s="6" t="inlineStr">
        <is>
          <t>TR-02</t>
        </is>
      </c>
      <c r="C16" s="6" t="inlineStr">
        <is>
          <t>docs/four-features-2026-10/TEST_RESULTS.md</t>
        </is>
      </c>
      <c r="D16" s="6" t="inlineStr">
        <is>
          <t>2. Step by step (UTC times, 8 Oct 2026)</t>
        </is>
      </c>
      <c r="E16" s="6" t="inlineStr">
        <is>
          <t>19:44</t>
        </is>
      </c>
      <c r="F16" s="6" t="inlineStr">
        <is>
          <t>F4 · request (phone)</t>
        </is>
      </c>
      <c r="G16" s="6" t="inlineStr">
        <is>
          <t>Location allowed → "Location captured (18.50890, 73.92590). See on Google Maps"; RCR-5A71759C saved</t>
        </is>
      </c>
      <c r="H16" s="6" t="inlineStr">
        <is>
          <t>PASS</t>
        </is>
      </c>
      <c r="I16" s="6" t="inlineStr">
        <is>
          <t>PASS</t>
        </is>
      </c>
    </row>
    <row r="17" ht="51" customHeight="1">
      <c r="A17" s="6" t="inlineStr">
        <is>
          <t>RES-0016</t>
        </is>
      </c>
      <c r="B17" s="6" t="inlineStr">
        <is>
          <t>TR-02</t>
        </is>
      </c>
      <c r="C17" s="6" t="inlineStr">
        <is>
          <t>docs/four-features-2026-10/TEST_RESULTS.md</t>
        </is>
      </c>
      <c r="D17" s="6" t="inlineStr">
        <is>
          <t>2. Step by step (UTC times, 8 Oct 2026)</t>
        </is>
      </c>
      <c r="E17" s="6" t="inlineStr">
        <is>
          <t>19:45</t>
        </is>
      </c>
      <c r="F17" s="6" t="inlineStr">
        <is>
          <t>F4 · email</t>
        </is>
      </c>
      <c r="G17" s="6" t="inlineStr">
        <is>
          <t>Email "Referral code request RCR-5A71759C — E2E Ref Requester Anil, Pune 411006" received (copy to readable alias) with name, mobile, type, area, city, PIN, coordinates ±12 m, Maps link, time</t>
        </is>
      </c>
      <c r="H17" s="6" t="inlineStr">
        <is>
          <t>PASS</t>
        </is>
      </c>
      <c r="I17" s="6" t="inlineStr">
        <is>
          <t>PASS</t>
        </is>
      </c>
    </row>
    <row r="18" ht="27" customHeight="1">
      <c r="A18" s="6" t="inlineStr">
        <is>
          <t>RES-0017</t>
        </is>
      </c>
      <c r="B18" s="6" t="inlineStr">
        <is>
          <t>TR-02</t>
        </is>
      </c>
      <c r="C18" s="6" t="inlineStr">
        <is>
          <t>docs/four-features-2026-10/TEST_RESULTS.md</t>
        </is>
      </c>
      <c r="D18" s="6" t="inlineStr">
        <is>
          <t>2. Step by step (UTC times, 8 Oct 2026)</t>
        </is>
      </c>
      <c r="E18" s="6" t="inlineStr">
        <is>
          <t>19:45</t>
        </is>
      </c>
      <c r="F18" s="6" t="inlineStr">
        <is>
          <t>F4 · request</t>
        </is>
      </c>
      <c r="G18" s="6" t="inlineStr">
        <is>
          <t>PIN 012345 → "A PIN code is 6 digits and does not start with 0.", not sent</t>
        </is>
      </c>
      <c r="H18" s="6" t="inlineStr">
        <is>
          <t>PASS</t>
        </is>
      </c>
      <c r="I18" s="6" t="inlineStr">
        <is>
          <t>PASS</t>
        </is>
      </c>
    </row>
    <row r="19" ht="27" customHeight="1">
      <c r="A19" s="6" t="inlineStr">
        <is>
          <t>RES-0018</t>
        </is>
      </c>
      <c r="B19" s="6" t="inlineStr">
        <is>
          <t>TR-02</t>
        </is>
      </c>
      <c r="C19" s="6" t="inlineStr">
        <is>
          <t>docs/four-features-2026-10/TEST_RESULTS.md</t>
        </is>
      </c>
      <c r="D19" s="6" t="inlineStr">
        <is>
          <t>2. Step by step (UTC times, 8 Oct 2026)</t>
        </is>
      </c>
      <c r="E19" s="6" t="inlineStr">
        <is>
          <t>19:45</t>
        </is>
      </c>
      <c r="F19" s="6" t="inlineStr">
        <is>
          <t>F4 · request</t>
        </is>
      </c>
      <c r="G19" s="6" t="inlineStr">
        <is>
          <t>Same mobile again → 429 "We already have a request from this mobile number (RCR-5A71759C, …)" shown in the dialog</t>
        </is>
      </c>
      <c r="H19" s="6" t="inlineStr">
        <is>
          <t>PASS</t>
        </is>
      </c>
      <c r="I19" s="6" t="inlineStr">
        <is>
          <t>PASS</t>
        </is>
      </c>
    </row>
    <row r="20" ht="27" customHeight="1">
      <c r="A20" s="6" t="inlineStr">
        <is>
          <t>RES-0019</t>
        </is>
      </c>
      <c r="B20" s="6" t="inlineStr">
        <is>
          <t>TR-02</t>
        </is>
      </c>
      <c r="C20" s="6" t="inlineStr">
        <is>
          <t>docs/four-features-2026-10/TEST_RESULTS.md</t>
        </is>
      </c>
      <c r="D20" s="6" t="inlineStr">
        <is>
          <t>2. Step by step (UTC times, 8 Oct 2026)</t>
        </is>
      </c>
      <c r="E20" s="6" t="inlineStr">
        <is>
          <t>19:46</t>
        </is>
      </c>
      <c r="F20" s="6" t="inlineStr">
        <is>
          <t>F4 · request (desktop)</t>
        </is>
      </c>
      <c r="G20" s="6" t="inlineStr">
        <is>
          <t>Location prompt unanswered → sent without location: RCR-CA8BBBB6, "Your location was not shared…"</t>
        </is>
      </c>
      <c r="H20" s="6" t="inlineStr">
        <is>
          <t>PASS</t>
        </is>
      </c>
      <c r="I20" s="6" t="inlineStr">
        <is>
          <t>PASS</t>
        </is>
      </c>
    </row>
    <row r="21" ht="27" customHeight="1">
      <c r="A21" s="6" t="inlineStr">
        <is>
          <t>RES-0020</t>
        </is>
      </c>
      <c r="B21" s="6" t="inlineStr">
        <is>
          <t>TR-02</t>
        </is>
      </c>
      <c r="C21" s="6" t="inlineStr">
        <is>
          <t>docs/four-features-2026-10/TEST_RESULTS.md</t>
        </is>
      </c>
      <c r="D21" s="6" t="inlineStr">
        <is>
          <t>2. Step by step (UTC times, 8 Oct 2026)</t>
        </is>
      </c>
      <c r="E21" s="6" t="inlineStr">
        <is>
          <t>19:47</t>
        </is>
      </c>
      <c r="F21" s="6" t="inlineStr">
        <is>
          <t>F4 · request (phone)</t>
        </is>
      </c>
      <c r="G21" s="6" t="inlineStr">
        <is>
          <t>Location blocked → "Location not shared (permission denied)…"; RCR-24EAA7D1 saved</t>
        </is>
      </c>
      <c r="H21" s="6" t="inlineStr">
        <is>
          <t>PASS</t>
        </is>
      </c>
      <c r="I21" s="6" t="inlineStr">
        <is>
          <t>PASS</t>
        </is>
      </c>
    </row>
    <row r="22" ht="39" customHeight="1">
      <c r="A22" s="6" t="inlineStr">
        <is>
          <t>RES-0021</t>
        </is>
      </c>
      <c r="B22" s="6" t="inlineStr">
        <is>
          <t>TR-02</t>
        </is>
      </c>
      <c r="C22" s="6" t="inlineStr">
        <is>
          <t>docs/four-features-2026-10/TEST_RESULTS.md</t>
        </is>
      </c>
      <c r="D22" s="6" t="inlineStr">
        <is>
          <t>2. Step by step (UTC times, 8 Oct 2026)</t>
        </is>
      </c>
      <c r="E22" s="6" t="inlineStr">
        <is>
          <t>19:48</t>
        </is>
      </c>
      <c r="F22" s="6" t="inlineStr">
        <is>
          <t>F2/F3 · shop dashboard</t>
        </is>
      </c>
      <c r="G22" s="6" t="inlineStr">
        <is>
          <t>New shop dashboard: "Your shop cannot accept orders — FSSAI licence is required. Upload now" and "Add your bank account to receive payouts … ₹1 payment, refunded"</t>
        </is>
      </c>
      <c r="H22" s="6" t="inlineStr">
        <is>
          <t>PASS</t>
        </is>
      </c>
      <c r="I22" s="6" t="inlineStr">
        <is>
          <t>PASS</t>
        </is>
      </c>
    </row>
    <row r="23" ht="39" customHeight="1">
      <c r="A23" s="6" t="inlineStr">
        <is>
          <t>RES-0022</t>
        </is>
      </c>
      <c r="B23" s="6" t="inlineStr">
        <is>
          <t>TR-02</t>
        </is>
      </c>
      <c r="C23" s="6" t="inlineStr">
        <is>
          <t>docs/four-features-2026-10/TEST_RESULTS.md</t>
        </is>
      </c>
      <c r="D23" s="6" t="inlineStr">
        <is>
          <t>2. Step by step (UTC times, 8 Oct 2026)</t>
        </is>
      </c>
      <c r="E23" s="6" t="inlineStr">
        <is>
          <t>19:51</t>
        </is>
      </c>
      <c r="F23" s="6" t="inlineStr">
        <is>
          <t>Regression · seller verification</t>
        </is>
      </c>
      <c r="G23" s="6" t="inlineStr">
        <is>
          <t>PAN, GST declaration, FSSAI number, Shop Act + certificate submitted → admin approves all 4 in /admin/seller-verification</t>
        </is>
      </c>
      <c r="H23" s="6" t="inlineStr">
        <is>
          <t>PASS</t>
        </is>
      </c>
      <c r="I23" s="6" t="inlineStr">
        <is>
          <t>PASS</t>
        </is>
      </c>
    </row>
    <row r="24" ht="27" customHeight="1">
      <c r="A24" s="6" t="inlineStr">
        <is>
          <t>RES-0023</t>
        </is>
      </c>
      <c r="B24" s="6" t="inlineStr">
        <is>
          <t>TR-02</t>
        </is>
      </c>
      <c r="C24" s="6" t="inlineStr">
        <is>
          <t>docs/four-features-2026-10/TEST_RESULTS.md</t>
        </is>
      </c>
      <c r="D24" s="6" t="inlineStr">
        <is>
          <t>2. Step by step (UTC times, 8 Oct 2026)</t>
        </is>
      </c>
      <c r="E24" s="6" t="inlineStr">
        <is>
          <t>19:53</t>
        </is>
      </c>
      <c r="F24" s="6" t="inlineStr">
        <is>
          <t>Regression · fee</t>
        </is>
      </c>
      <c r="G24" s="6" t="inlineStr">
        <is>
          <t>Registration fee ₹100 recorded (cash) → PAID</t>
        </is>
      </c>
      <c r="H24" s="6" t="inlineStr">
        <is>
          <t>PASS</t>
        </is>
      </c>
      <c r="I24" s="6" t="inlineStr">
        <is>
          <t>PASS</t>
        </is>
      </c>
    </row>
    <row r="25" ht="39" customHeight="1">
      <c r="A25" s="6" t="inlineStr">
        <is>
          <t>RES-0024</t>
        </is>
      </c>
      <c r="B25" s="6" t="inlineStr">
        <is>
          <t>TR-02</t>
        </is>
      </c>
      <c r="C25" s="6" t="inlineStr">
        <is>
          <t>docs/four-features-2026-10/TEST_RESULTS.md</t>
        </is>
      </c>
      <c r="D25" s="6" t="inlineStr">
        <is>
          <t>2. Step by step (UTC times, 8 Oct 2026)</t>
        </is>
      </c>
      <c r="E25" s="6" t="inlineStr">
        <is>
          <t>19:53</t>
        </is>
      </c>
      <c r="F25" s="6" t="inlineStr">
        <is>
          <t>F2 · cannot go live</t>
        </is>
      </c>
      <c r="G25" s="6" t="inlineStr">
        <is>
          <t>Admin "Approve" with FSSAI not uploaded → 409 "This shop needs its FSSAI licence uploaded before it can go live." shown on the card</t>
        </is>
      </c>
      <c r="H25" s="6" t="inlineStr">
        <is>
          <t>PASS</t>
        </is>
      </c>
      <c r="I25" s="6" t="inlineStr">
        <is>
          <t>PASS</t>
        </is>
      </c>
    </row>
    <row r="26" ht="39" customHeight="1">
      <c r="A26" s="6" t="inlineStr">
        <is>
          <t>RES-0025</t>
        </is>
      </c>
      <c r="B26" s="6" t="inlineStr">
        <is>
          <t>TR-02</t>
        </is>
      </c>
      <c r="C26" s="6" t="inlineStr">
        <is>
          <t>docs/four-features-2026-10/TEST_RESULTS.md</t>
        </is>
      </c>
      <c r="D26" s="6" t="inlineStr">
        <is>
          <t>2. Step by step (UTC times, 8 Oct 2026)</t>
        </is>
      </c>
      <c r="E26" s="6" t="inlineStr">
        <is>
          <t>19:54</t>
        </is>
      </c>
      <c r="F26" s="6" t="inlineStr">
        <is>
          <t>F2 · FSSAI validation</t>
        </is>
      </c>
      <c r="G26" s="6" t="inlineStr">
        <is>
          <t>13 digits → "exactly 14 digits", submit disabled; past expiry → "already expired"; text file named .pdf → "Upload a PDF, JPEG, PNG or WebP file."</t>
        </is>
      </c>
      <c r="H26" s="6" t="inlineStr">
        <is>
          <t>PASS</t>
        </is>
      </c>
      <c r="I26" s="6" t="inlineStr">
        <is>
          <t>PASS</t>
        </is>
      </c>
    </row>
    <row r="27" ht="27" customHeight="1">
      <c r="A27" s="6" t="inlineStr">
        <is>
          <t>RES-0026</t>
        </is>
      </c>
      <c r="B27" s="6" t="inlineStr">
        <is>
          <t>TR-02</t>
        </is>
      </c>
      <c r="C27" s="6" t="inlineStr">
        <is>
          <t>docs/four-features-2026-10/TEST_RESULTS.md</t>
        </is>
      </c>
      <c r="D27" s="6" t="inlineStr">
        <is>
          <t>2. Step by step (UTC times, 8 Oct 2026)</t>
        </is>
      </c>
      <c r="E27" s="6" t="inlineStr">
        <is>
          <t>19:55</t>
        </is>
      </c>
      <c r="F27" s="6" t="inlineStr">
        <is>
          <t>F2 · FSSAI upload</t>
        </is>
      </c>
      <c r="G27" s="6" t="inlineStr">
        <is>
          <t>Valid 14-digit number + expiry 31 Mar 2027 + PDF → SUBMITTED; page shows ••••0123, expiry, "View uploaded copy"</t>
        </is>
      </c>
      <c r="H27" s="6" t="inlineStr">
        <is>
          <t>PASS</t>
        </is>
      </c>
      <c r="I27" s="6" t="inlineStr">
        <is>
          <t>PASS</t>
        </is>
      </c>
    </row>
    <row r="28" ht="27" customHeight="1">
      <c r="A28" s="6" t="inlineStr">
        <is>
          <t>RES-0027</t>
        </is>
      </c>
      <c r="B28" s="6" t="inlineStr">
        <is>
          <t>TR-02</t>
        </is>
      </c>
      <c r="C28" s="6" t="inlineStr">
        <is>
          <t>docs/four-features-2026-10/TEST_RESULTS.md</t>
        </is>
      </c>
      <c r="D28" s="6" t="inlineStr">
        <is>
          <t>2. Step by step (UTC times, 8 Oct 2026)</t>
        </is>
      </c>
      <c r="E28" s="6" t="inlineStr">
        <is>
          <t>19:56</t>
        </is>
      </c>
      <c r="F28" s="6" t="inlineStr">
        <is>
          <t>F2 · go live</t>
        </is>
      </c>
      <c r="G28" s="6" t="inlineStr">
        <is>
          <t>Admin "Approve" → 200, shop APPROVED</t>
        </is>
      </c>
      <c r="H28" s="6" t="inlineStr">
        <is>
          <t>PASS</t>
        </is>
      </c>
      <c r="I28" s="6" t="inlineStr">
        <is>
          <t>PASS</t>
        </is>
      </c>
    </row>
    <row r="29" ht="27" customHeight="1">
      <c r="A29" s="6" t="inlineStr">
        <is>
          <t>RES-0028</t>
        </is>
      </c>
      <c r="B29" s="6" t="inlineStr">
        <is>
          <t>TR-02</t>
        </is>
      </c>
      <c r="C29" s="6" t="inlineStr">
        <is>
          <t>docs/four-features-2026-10/TEST_RESULTS.md</t>
        </is>
      </c>
      <c r="D29" s="6" t="inlineStr">
        <is>
          <t>2. Step by step (UTC times, 8 Oct 2026)</t>
        </is>
      </c>
      <c r="E29" s="6" t="inlineStr">
        <is>
          <t>19:56</t>
        </is>
      </c>
      <c r="F29" s="6" t="inlineStr">
        <is>
          <t>F2 · review (operator)</t>
        </is>
      </c>
      <c r="G29" s="6" t="inlineStr">
        <is>
          <t>Operator opens the uploaded copy (200, original 619-byte PDF, decrypted) and approves → APPROVED</t>
        </is>
      </c>
      <c r="H29" s="6" t="inlineStr">
        <is>
          <t>PASS</t>
        </is>
      </c>
      <c r="I29" s="6" t="inlineStr">
        <is>
          <t>PASS</t>
        </is>
      </c>
    </row>
    <row r="30" ht="27" customHeight="1">
      <c r="A30" s="6" t="inlineStr">
        <is>
          <t>RES-0029</t>
        </is>
      </c>
      <c r="B30" s="6" t="inlineStr">
        <is>
          <t>TR-02</t>
        </is>
      </c>
      <c r="C30" s="6" t="inlineStr">
        <is>
          <t>docs/four-features-2026-10/TEST_RESULTS.md</t>
        </is>
      </c>
      <c r="D30" s="6" t="inlineStr">
        <is>
          <t>2. Step by step (UTC times, 8 Oct 2026)</t>
        </is>
      </c>
      <c r="E30" s="6" t="inlineStr">
        <is>
          <t>19:56</t>
        </is>
      </c>
      <c r="F30" s="6" t="inlineStr">
        <is>
          <t>F2 · permissions</t>
        </is>
      </c>
      <c r="G30" s="6" t="inlineStr">
        <is>
          <t>Copy URL: customer 404, another shop owner 404, signed-out 401, own owner 200</t>
        </is>
      </c>
      <c r="H30" s="6" t="inlineStr">
        <is>
          <t>PASS</t>
        </is>
      </c>
      <c r="I30" s="6" t="inlineStr">
        <is>
          <t>PASS</t>
        </is>
      </c>
    </row>
    <row r="31" ht="51" customHeight="1">
      <c r="A31" s="6" t="inlineStr">
        <is>
          <t>RES-0030</t>
        </is>
      </c>
      <c r="B31" s="6" t="inlineStr">
        <is>
          <t>TR-02</t>
        </is>
      </c>
      <c r="C31" s="6" t="inlineStr">
        <is>
          <t>docs/four-features-2026-10/TEST_RESULTS.md</t>
        </is>
      </c>
      <c r="D31" s="6" t="inlineStr">
        <is>
          <t>2. Step by step (UTC times, 8 Oct 2026)</t>
        </is>
      </c>
      <c r="E31" s="6" t="inlineStr">
        <is>
          <t>20:01</t>
        </is>
      </c>
      <c r="F31" s="6" t="inlineStr">
        <is>
          <t>F1 · staff (phone)</t>
        </is>
      </c>
      <c r="G31" s="6" t="inlineStr">
        <is>
          <t>/shop/delivery-staff: add Ravi + Suresh; duplicate mobile → "Ravi E2E already has this mobile number in your team."; edit name; deactivate (badge), reactivate, deactivate; another shop owner GET → 403</t>
        </is>
      </c>
      <c r="H31" s="6" t="inlineStr">
        <is>
          <t>PASS</t>
        </is>
      </c>
      <c r="I31" s="6" t="inlineStr">
        <is>
          <t>PASS</t>
        </is>
      </c>
    </row>
    <row r="32" ht="39" customHeight="1">
      <c r="A32" s="6" t="inlineStr">
        <is>
          <t>RES-0031</t>
        </is>
      </c>
      <c r="B32" s="6" t="inlineStr">
        <is>
          <t>TR-02</t>
        </is>
      </c>
      <c r="C32" s="6" t="inlineStr">
        <is>
          <t>docs/four-features-2026-10/TEST_RESULTS.md</t>
        </is>
      </c>
      <c r="D32" s="6" t="inlineStr">
        <is>
          <t>2. Step by step (UTC times, 8 Oct 2026)</t>
        </is>
      </c>
      <c r="E32" s="6" t="inlineStr">
        <is>
          <t>20:07</t>
        </is>
      </c>
      <c r="F32" s="6" t="inlineStr">
        <is>
          <t>Regression · checkout</t>
        </is>
      </c>
      <c r="G32" s="6" t="inlineStr">
        <is>
          <t>Customer orders Bread ₹40 + ₹20 delivery from a closed shop (scheduled 6–8 am) paying from wallet → CONFIRMED; first-checkout bank-account prompt shown in cart (F3)</t>
        </is>
      </c>
      <c r="H32" s="6" t="inlineStr">
        <is>
          <t>PASS</t>
        </is>
      </c>
      <c r="I32" s="6" t="inlineStr">
        <is>
          <t>PASS</t>
        </is>
      </c>
    </row>
    <row r="33" ht="27" customHeight="1">
      <c r="A33" s="6" t="inlineStr">
        <is>
          <t>RES-0032</t>
        </is>
      </c>
      <c r="B33" s="6" t="inlineStr">
        <is>
          <t>TR-02</t>
        </is>
      </c>
      <c r="C33" s="6" t="inlineStr">
        <is>
          <t>docs/four-features-2026-10/TEST_RESULTS.md</t>
        </is>
      </c>
      <c r="D33" s="6" t="inlineStr">
        <is>
          <t>2. Step by step (UTC times, 8 Oct 2026)</t>
        </is>
      </c>
      <c r="E33" s="6" t="inlineStr">
        <is>
          <t>20:10</t>
        </is>
      </c>
      <c r="F33" s="6" t="inlineStr">
        <is>
          <t>F1 · ready needs a choice</t>
        </is>
      </c>
      <c r="G33" s="6" t="inlineStr">
        <is>
          <t>POST /fulfilment {"action":"ready"} without a plan → 409 needsFulfilmentChoice</t>
        </is>
      </c>
      <c r="H33" s="6" t="inlineStr">
        <is>
          <t>PASS</t>
        </is>
      </c>
      <c r="I33" s="6" t="inlineStr">
        <is>
          <t>PASS</t>
        </is>
      </c>
    </row>
    <row r="34" ht="39" customHeight="1">
      <c r="A34" s="6" t="inlineStr">
        <is>
          <t>RES-0033</t>
        </is>
      </c>
      <c r="B34" s="6" t="inlineStr">
        <is>
          <t>TR-02</t>
        </is>
      </c>
      <c r="C34" s="6" t="inlineStr">
        <is>
          <t>docs/four-features-2026-10/TEST_RESULTS.md</t>
        </is>
      </c>
      <c r="D34" s="6" t="inlineStr">
        <is>
          <t>2. Step by step (UTC times, 8 Oct 2026)</t>
        </is>
      </c>
      <c r="E34" s="6" t="inlineStr">
        <is>
          <t>20:10</t>
        </is>
      </c>
      <c r="F34" s="6" t="inlineStr">
        <is>
          <t>F1 · pickup</t>
        </is>
      </c>
      <c r="G34" s="6" t="inlineStr">
        <is>
          <t>"Packed — mark ready" with Pickup, Fri 9 Oct 7–8 am → READY; customer email "Ready for pickup"; My Orders shows option, time, shop address and pickup code 4883</t>
        </is>
      </c>
      <c r="H34" s="6" t="inlineStr">
        <is>
          <t>PASS (bug: a duplicate request answered 409 "Start preparing…" although the first succeeded — fixed in follow-up: idempotent)</t>
        </is>
      </c>
      <c r="I34" s="6" t="inlineStr">
        <is>
          <t>PASS</t>
        </is>
      </c>
    </row>
    <row r="35" ht="39" customHeight="1">
      <c r="A35" s="6" t="inlineStr">
        <is>
          <t>RES-0034</t>
        </is>
      </c>
      <c r="B35" s="6" t="inlineStr">
        <is>
          <t>TR-02</t>
        </is>
      </c>
      <c r="C35" s="6" t="inlineStr">
        <is>
          <t>docs/four-features-2026-10/TEST_RESULTS.md</t>
        </is>
      </c>
      <c r="D35" s="6" t="inlineStr">
        <is>
          <t>2. Step by step (UTC times, 8 Oct 2026)</t>
        </is>
      </c>
      <c r="E35" s="6" t="inlineStr">
        <is>
          <t>20:28</t>
        </is>
      </c>
      <c r="F35" s="6" t="inlineStr">
        <is>
          <t>F1 · pickup completion</t>
        </is>
      </c>
      <c r="G35" s="6" t="inlineStr">
        <is>
          <t>Status DELIVERED without code → 409 "Complete a pickup with the customer's pickup code."; wrong code → "4 attempts left"; right code → DELIVERED; customer "Order delivered" email</t>
        </is>
      </c>
      <c r="H35" s="6" t="inlineStr">
        <is>
          <t>PASS</t>
        </is>
      </c>
      <c r="I35" s="6" t="inlineStr">
        <is>
          <t>PASS</t>
        </is>
      </c>
    </row>
    <row r="36" ht="27" customHeight="1">
      <c r="A36" s="6" t="inlineStr">
        <is>
          <t>RES-0035</t>
        </is>
      </c>
      <c r="B36" s="6" t="inlineStr">
        <is>
          <t>TR-02</t>
        </is>
      </c>
      <c r="C36" s="6" t="inlineStr">
        <is>
          <t>docs/four-features-2026-10/TEST_RESULTS.md</t>
        </is>
      </c>
      <c r="D36" s="6" t="inlineStr">
        <is>
          <t>2. Step by step (UTC times, 8 Oct 2026)</t>
        </is>
      </c>
      <c r="E36" s="6" t="inlineStr">
        <is>
          <t>20:29</t>
        </is>
      </c>
      <c r="F36" s="6" t="inlineStr">
        <is>
          <t>F1 · charges</t>
        </is>
      </c>
      <c r="G36" s="6" t="inlineStr">
        <is>
          <t>Shop wallet after pickup: COMMISSION −₹0.40 only, no DELIVERY_CHARGE</t>
        </is>
      </c>
      <c r="H36" s="6" t="inlineStr">
        <is>
          <t>PASS</t>
        </is>
      </c>
      <c r="I36" s="6" t="inlineStr">
        <is>
          <t>PASS</t>
        </is>
      </c>
    </row>
    <row r="37" ht="39" customHeight="1">
      <c r="A37" s="6" t="inlineStr">
        <is>
          <t>RES-0036</t>
        </is>
      </c>
      <c r="B37" s="6" t="inlineStr">
        <is>
          <t>TR-02</t>
        </is>
      </c>
      <c r="C37" s="6" t="inlineStr">
        <is>
          <t>docs/four-features-2026-10/TEST_RESULTS.md</t>
        </is>
      </c>
      <c r="D37" s="6" t="inlineStr">
        <is>
          <t>2. Step by step (UTC times, 8 Oct 2026)</t>
        </is>
      </c>
      <c r="E37" s="6" t="inlineStr">
        <is>
          <t>20:25</t>
        </is>
      </c>
      <c r="F37" s="6" t="inlineStr">
        <is>
          <t>F1 · own delivery</t>
        </is>
      </c>
      <c r="G37" s="6" t="inlineStr">
        <is>
          <t>Plan Shop's own delivery (only active staff offered: Ravi; deactivated Suresh absent), Fri 9–10 am → READY; email "Delivery scheduled"</t>
        </is>
      </c>
      <c r="H37" s="6" t="inlineStr">
        <is>
          <t>PASS</t>
        </is>
      </c>
      <c r="I37" s="6" t="inlineStr">
        <is>
          <t>PASS</t>
        </is>
      </c>
    </row>
    <row r="38" ht="39" customHeight="1">
      <c r="A38" s="6" t="inlineStr">
        <is>
          <t>RES-0037</t>
        </is>
      </c>
      <c r="B38" s="6" t="inlineStr">
        <is>
          <t>TR-02</t>
        </is>
      </c>
      <c r="C38" s="6" t="inlineStr">
        <is>
          <t>docs/four-features-2026-10/TEST_RESULTS.md</t>
        </is>
      </c>
      <c r="D38" s="6" t="inlineStr">
        <is>
          <t>2. Step by step (UTC times, 8 Oct 2026)</t>
        </is>
      </c>
      <c r="E38" s="6" t="inlineStr">
        <is>
          <t>20:26</t>
        </is>
      </c>
      <c r="F38" s="6" t="inlineStr">
        <is>
          <t>F1 · changes</t>
        </is>
      </c>
      <c r="G38" s="6" t="inlineStr">
        <is>
          <t>9–10 → 11–12 → Pickup 11–12 → own delivery Sat 7–8 am; each saved; 3 emails "Your order's delivery plan changed … Before: …"; My Orders shows "(updated)"</t>
        </is>
      </c>
      <c r="H38" s="6" t="inlineStr">
        <is>
          <t>PASS</t>
        </is>
      </c>
      <c r="I38" s="6" t="inlineStr">
        <is>
          <t>PASS</t>
        </is>
      </c>
    </row>
    <row r="39" ht="27" customHeight="1">
      <c r="A39" s="6" t="inlineStr">
        <is>
          <t>RES-0038</t>
        </is>
      </c>
      <c r="B39" s="6" t="inlineStr">
        <is>
          <t>TR-02</t>
        </is>
      </c>
      <c r="C39" s="6" t="inlineStr">
        <is>
          <t>docs/four-features-2026-10/TEST_RESULTS.md</t>
        </is>
      </c>
      <c r="D39" s="6" t="inlineStr">
        <is>
          <t>2. Step by step (UTC times, 8 Oct 2026)</t>
        </is>
      </c>
      <c r="E39" s="6" t="inlineStr">
        <is>
          <t>20:29</t>
        </is>
      </c>
      <c r="F39" s="6" t="inlineStr">
        <is>
          <t>F1 · link</t>
        </is>
      </c>
      <c r="G39" s="6" t="inlineStr">
        <is>
          <t>Old link after re-planning → 404 (new link issued)</t>
        </is>
      </c>
      <c r="H39" s="6" t="inlineStr">
        <is>
          <t>PASS</t>
        </is>
      </c>
      <c r="I39" s="6" t="inlineStr">
        <is>
          <t>PASS</t>
        </is>
      </c>
    </row>
    <row r="40" ht="39" customHeight="1">
      <c r="A40" s="6" t="inlineStr">
        <is>
          <t>RES-0039</t>
        </is>
      </c>
      <c r="B40" s="6" t="inlineStr">
        <is>
          <t>TR-02</t>
        </is>
      </c>
      <c r="C40" s="6" t="inlineStr">
        <is>
          <t>docs/four-features-2026-10/TEST_RESULTS.md</t>
        </is>
      </c>
      <c r="D40" s="6" t="inlineStr">
        <is>
          <t>2. Step by step (UTC times, 8 Oct 2026)</t>
        </is>
      </c>
      <c r="E40" s="6" t="inlineStr">
        <is>
          <t>20:32</t>
        </is>
      </c>
      <c r="F40" s="6" t="inlineStr">
        <is>
          <t>F1 · delivery link (phone, signed out)</t>
        </is>
      </c>
      <c r="G40" s="6" t="inlineStr">
        <is>
          <t>Shows order, slot, customer, address, Call customer/Directions/Call shop, items; "start delivery" → OUT_FOR_DELIVERY; customer emailed "0594 is your delivery code"</t>
        </is>
      </c>
      <c r="H40" s="6" t="inlineStr">
        <is>
          <t>PASS</t>
        </is>
      </c>
      <c r="I40" s="6" t="inlineStr">
        <is>
          <t>PASS</t>
        </is>
      </c>
    </row>
    <row r="41" ht="27" customHeight="1">
      <c r="A41" s="6" t="inlineStr">
        <is>
          <t>RES-0040</t>
        </is>
      </c>
      <c r="B41" s="6" t="inlineStr">
        <is>
          <t>TR-02</t>
        </is>
      </c>
      <c r="C41" s="6" t="inlineStr">
        <is>
          <t>docs/four-features-2026-10/TEST_RESULTS.md</t>
        </is>
      </c>
      <c r="D41" s="6" t="inlineStr">
        <is>
          <t>2. Step by step (UTC times, 8 Oct 2026)</t>
        </is>
      </c>
      <c r="E41" s="6" t="inlineStr">
        <is>
          <t>20:33</t>
        </is>
      </c>
      <c r="F41" s="6" t="inlineStr">
        <is>
          <t>F1 · no change once out</t>
        </is>
      </c>
      <c r="G41" s="6" t="inlineStr">
        <is>
          <t>Change plan → 409 "This order's delivery can no longer be changed."</t>
        </is>
      </c>
      <c r="H41" s="6" t="inlineStr">
        <is>
          <t>PASS</t>
        </is>
      </c>
      <c r="I41" s="6" t="inlineStr">
        <is>
          <t>PASS</t>
        </is>
      </c>
    </row>
    <row r="42" ht="27" customHeight="1">
      <c r="A42" s="6" t="inlineStr">
        <is>
          <t>RES-0041</t>
        </is>
      </c>
      <c r="B42" s="6" t="inlineStr">
        <is>
          <t>TR-02</t>
        </is>
      </c>
      <c r="C42" s="6" t="inlineStr">
        <is>
          <t>docs/four-features-2026-10/TEST_RESULTS.md</t>
        </is>
      </c>
      <c r="D42" s="6" t="inlineStr">
        <is>
          <t>2. Step by step (UTC times, 8 Oct 2026)</t>
        </is>
      </c>
      <c r="E42" s="6" t="inlineStr">
        <is>
          <t>20:33</t>
        </is>
      </c>
      <c r="F42" s="6" t="inlineStr">
        <is>
          <t>F1 · own delivery completion</t>
        </is>
      </c>
      <c r="G42" s="6" t="inlineStr">
        <is>
          <t>Wrong code → "4 attempts left"; right code → DELIVERED; link then shows "Delivered" only, customer details gone</t>
        </is>
      </c>
      <c r="H42" s="6" t="inlineStr">
        <is>
          <t>PASS</t>
        </is>
      </c>
      <c r="I42" s="6" t="inlineStr">
        <is>
          <t>PASS</t>
        </is>
      </c>
    </row>
    <row r="43" ht="39" customHeight="1">
      <c r="A43" s="6" t="inlineStr">
        <is>
          <t>RES-0042</t>
        </is>
      </c>
      <c r="B43" s="6" t="inlineStr">
        <is>
          <t>TR-02</t>
        </is>
      </c>
      <c r="C43" s="6" t="inlineStr">
        <is>
          <t>docs/four-features-2026-10/TEST_RESULTS.md</t>
        </is>
      </c>
      <c r="D43" s="6" t="inlineStr">
        <is>
          <t>2. Step by step (UTC times, 8 Oct 2026)</t>
        </is>
      </c>
      <c r="E43" s="6" t="inlineStr">
        <is>
          <t>20:36</t>
        </is>
      </c>
      <c r="F43" s="6" t="inlineStr">
        <is>
          <t>F1 · new code (phone)</t>
        </is>
      </c>
      <c r="G43" s="6" t="inlineStr">
        <is>
          <t>Customer "Get a new code" right after start → "Please wait 21 seconds…"; after cooldown → new code 0940 shown + emailed, "Your earlier code no longer works", 2 resends left</t>
        </is>
      </c>
      <c r="H43" s="6" t="inlineStr">
        <is>
          <t>PASS</t>
        </is>
      </c>
      <c r="I43" s="6" t="inlineStr">
        <is>
          <t>PASS</t>
        </is>
      </c>
    </row>
    <row r="44" ht="51" customHeight="1">
      <c r="A44" s="6" t="inlineStr">
        <is>
          <t>RES-0043</t>
        </is>
      </c>
      <c r="B44" s="6" t="inlineStr">
        <is>
          <t>TR-02</t>
        </is>
      </c>
      <c r="C44" s="6" t="inlineStr">
        <is>
          <t>docs/four-features-2026-10/TEST_RESULTS.md</t>
        </is>
      </c>
      <c r="D44" s="6" t="inlineStr">
        <is>
          <t>2. Step by step (UTC times, 8 Oct 2026)</t>
        </is>
      </c>
      <c r="E44" s="6" t="inlineStr">
        <is>
          <t>20:38</t>
        </is>
      </c>
      <c r="F44" s="6" t="inlineStr">
        <is>
          <t>F1 · lockout</t>
        </is>
      </c>
      <c r="G44" s="6" t="inlineStr">
        <is>
          <t>5 wrong codes on the link: 4,3,2,1 attempts left, then 409 "Too many wrong codes — this order is on hold and support ticket GRV-000001 has been raised"; link shows "On hold", no code box</t>
        </is>
      </c>
      <c r="H44" s="6" t="inlineStr">
        <is>
          <t>PASS</t>
        </is>
      </c>
      <c r="I44" s="6" t="inlineStr">
        <is>
          <t>PASS</t>
        </is>
      </c>
    </row>
    <row r="45" ht="27" customHeight="1">
      <c r="A45" s="6" t="inlineStr">
        <is>
          <t>RES-0044</t>
        </is>
      </c>
      <c r="B45" s="6" t="inlineStr">
        <is>
          <t>TR-02</t>
        </is>
      </c>
      <c r="C45" s="6" t="inlineStr">
        <is>
          <t>docs/four-features-2026-10/TEST_RESULTS.md</t>
        </is>
      </c>
      <c r="D45" s="6" t="inlineStr">
        <is>
          <t>2. Step by step (UTC times, 8 Oct 2026)</t>
        </is>
      </c>
      <c r="E45" s="6" t="inlineStr">
        <is>
          <t>20:34</t>
        </is>
      </c>
      <c r="F45" s="6" t="inlineStr">
        <is>
          <t>F1 · owner told</t>
        </is>
      </c>
      <c r="G45" s="6" t="inlineStr">
        <is>
          <t>Shop owner email "Delivered — Ravi Kumar E2E delivered order DB-20261008-OGXVZW"</t>
        </is>
      </c>
      <c r="H45" s="6" t="inlineStr">
        <is>
          <t>PASS</t>
        </is>
      </c>
      <c r="I45" s="6" t="inlineStr">
        <is>
          <t>PASS</t>
        </is>
      </c>
    </row>
    <row r="46" ht="27" customHeight="1">
      <c r="A46" s="6" t="inlineStr">
        <is>
          <t>RES-0045</t>
        </is>
      </c>
      <c r="B46" s="6" t="inlineStr">
        <is>
          <t>TR-02</t>
        </is>
      </c>
      <c r="C46" s="6" t="inlineStr">
        <is>
          <t>docs/four-features-2026-10/TEST_RESULTS.md</t>
        </is>
      </c>
      <c r="D46" s="6" t="inlineStr">
        <is>
          <t>2. Step by step (UTC times, 8 Oct 2026)</t>
        </is>
      </c>
      <c r="E46" s="6" t="inlineStr">
        <is>
          <t>20:40</t>
        </is>
      </c>
      <c r="F46" s="6" t="inlineStr">
        <is>
          <t>Regression · rider</t>
        </is>
      </c>
      <c r="G46" s="6" t="inlineStr">
        <is>
          <t>Rider goes online (phone, location near shop)</t>
        </is>
      </c>
      <c r="H46" s="6" t="inlineStr">
        <is>
          <t>PASS</t>
        </is>
      </c>
      <c r="I46" s="6" t="inlineStr">
        <is>
          <t>PASS</t>
        </is>
      </c>
    </row>
    <row r="47" ht="39" customHeight="1">
      <c r="A47" s="6" t="inlineStr">
        <is>
          <t>RES-0046</t>
        </is>
      </c>
      <c r="B47" s="6" t="inlineStr">
        <is>
          <t>TR-02</t>
        </is>
      </c>
      <c r="C47" s="6" t="inlineStr">
        <is>
          <t>docs/four-features-2026-10/TEST_RESULTS.md</t>
        </is>
      </c>
      <c r="D47" s="6" t="inlineStr">
        <is>
          <t>2. Step by step (UTC times, 8 Oct 2026)</t>
        </is>
      </c>
      <c r="E47" s="6" t="inlineStr">
        <is>
          <t>20:41</t>
        </is>
      </c>
      <c r="F47" s="6" t="inlineStr">
        <is>
          <t>F1 · GoKesari later slot</t>
        </is>
      </c>
      <c r="G47" s="6" t="inlineStr">
        <is>
          <t>GoKesari partner 7–8 am → READY; rider search held: "The rider search starts at 6:15 am — or press Find rider now" (riderSearchFrom 00:45Z)</t>
        </is>
      </c>
      <c r="H47" s="6" t="inlineStr">
        <is>
          <t>PASS</t>
        </is>
      </c>
      <c r="I47" s="6" t="inlineStr">
        <is>
          <t>PASS</t>
        </is>
      </c>
    </row>
    <row r="48" ht="27" customHeight="1">
      <c r="A48" s="6" t="inlineStr">
        <is>
          <t>RES-0047</t>
        </is>
      </c>
      <c r="B48" s="6" t="inlineStr">
        <is>
          <t>TR-02</t>
        </is>
      </c>
      <c r="C48" s="6" t="inlineStr">
        <is>
          <t>docs/four-features-2026-10/TEST_RESULTS.md</t>
        </is>
      </c>
      <c r="D48" s="6" t="inlineStr">
        <is>
          <t>2. Step by step (UTC times, 8 Oct 2026)</t>
        </is>
      </c>
      <c r="E48" s="6" t="inlineStr">
        <is>
          <t>20:42</t>
        </is>
      </c>
      <c r="F48" s="6" t="inlineStr">
        <is>
          <t>F1 · GoKesari now</t>
        </is>
      </c>
      <c r="G48" s="6" t="inlineStr">
        <is>
          <t>"Find rider now" → offer to the rider ("NEW DELIVERY OFFER — ACCEPT WITHIN 2 MINUTES"), rider accepts → ASSIGNED</t>
        </is>
      </c>
      <c r="H48" s="6" t="inlineStr">
        <is>
          <t>PASS</t>
        </is>
      </c>
      <c r="I48" s="6" t="inlineStr">
        <is>
          <t>PASS</t>
        </is>
      </c>
    </row>
    <row r="49" ht="27" customHeight="1">
      <c r="A49" s="6" t="inlineStr">
        <is>
          <t>RES-0048</t>
        </is>
      </c>
      <c r="B49" s="6" t="inlineStr">
        <is>
          <t>TR-02</t>
        </is>
      </c>
      <c r="C49" s="6" t="inlineStr">
        <is>
          <t>docs/four-features-2026-10/TEST_RESULTS.md</t>
        </is>
      </c>
      <c r="D49" s="6" t="inlineStr">
        <is>
          <t>2. Step by step (UTC times, 8 Oct 2026)</t>
        </is>
      </c>
      <c r="E49" s="6" t="inlineStr">
        <is>
          <t>20:46</t>
        </is>
      </c>
      <c r="F49" s="6" t="inlineStr">
        <is>
          <t>Regression · rider pickup</t>
        </is>
      </c>
      <c r="G49" s="6" t="inlineStr">
        <is>
          <t>Rider "arrived at shop"; shop card shows "Pickup code for the rider: 9497"; rider confirms → PICKED_UP</t>
        </is>
      </c>
      <c r="H49" s="6" t="inlineStr">
        <is>
          <t>PASS</t>
        </is>
      </c>
      <c r="I49" s="6" t="inlineStr">
        <is>
          <t>PASS</t>
        </is>
      </c>
    </row>
    <row r="50" ht="27" customHeight="1">
      <c r="A50" s="6" t="inlineStr">
        <is>
          <t>RES-0049</t>
        </is>
      </c>
      <c r="B50" s="6" t="inlineStr">
        <is>
          <t>TR-02</t>
        </is>
      </c>
      <c r="C50" s="6" t="inlineStr">
        <is>
          <t>docs/four-features-2026-10/TEST_RESULTS.md</t>
        </is>
      </c>
      <c r="D50" s="6" t="inlineStr">
        <is>
          <t>2. Step by step (UTC times, 8 Oct 2026)</t>
        </is>
      </c>
      <c r="E50" s="6" t="inlineStr">
        <is>
          <t>20:46</t>
        </is>
      </c>
      <c r="F50" s="6" t="inlineStr">
        <is>
          <t>F1 · no change after pickup</t>
        </is>
      </c>
      <c r="G50" s="6" t="inlineStr">
        <is>
          <t>Change plan after rider pickup → 409 "This order's delivery can no longer be changed."</t>
        </is>
      </c>
      <c r="H50" s="6" t="inlineStr">
        <is>
          <t>PASS</t>
        </is>
      </c>
      <c r="I50" s="6" t="inlineStr">
        <is>
          <t>PASS</t>
        </is>
      </c>
    </row>
    <row r="51" ht="27" customHeight="1">
      <c r="A51" s="6" t="inlineStr">
        <is>
          <t>RES-0050</t>
        </is>
      </c>
      <c r="B51" s="6" t="inlineStr">
        <is>
          <t>TR-02</t>
        </is>
      </c>
      <c r="C51" s="6" t="inlineStr">
        <is>
          <t>docs/four-features-2026-10/TEST_RESULTS.md</t>
        </is>
      </c>
      <c r="D51" s="6" t="inlineStr">
        <is>
          <t>2. Step by step (UTC times, 8 Oct 2026)</t>
        </is>
      </c>
      <c r="E51" s="6" t="inlineStr">
        <is>
          <t>20:47</t>
        </is>
      </c>
      <c r="F51" s="6" t="inlineStr">
        <is>
          <t>Regression · delivery OTP</t>
        </is>
      </c>
      <c r="G51" s="6" t="inlineStr">
        <is>
          <t>Start delivery → customer emailed "7991 is your delivery code"; door photo (rule on test) + code → DELIVERED</t>
        </is>
      </c>
      <c r="H51" s="6" t="inlineStr">
        <is>
          <t>PASS</t>
        </is>
      </c>
      <c r="I51" s="6" t="inlineStr">
        <is>
          <t>PASS</t>
        </is>
      </c>
    </row>
    <row r="52" ht="27" customHeight="1">
      <c r="A52" s="6" t="inlineStr">
        <is>
          <t>RES-0051</t>
        </is>
      </c>
      <c r="B52" s="6" t="inlineStr">
        <is>
          <t>TR-02</t>
        </is>
      </c>
      <c r="C52" s="6" t="inlineStr">
        <is>
          <t>docs/four-features-2026-10/TEST_RESULTS.md</t>
        </is>
      </c>
      <c r="D52" s="6" t="inlineStr">
        <is>
          <t>2. Step by step (UTC times, 8 Oct 2026)</t>
        </is>
      </c>
      <c r="E52" s="6" t="inlineStr">
        <is>
          <t>20:52</t>
        </is>
      </c>
      <c r="F52" s="6" t="inlineStr">
        <is>
          <t>F1 · charges</t>
        </is>
      </c>
      <c r="G52" s="6" t="inlineStr">
        <is>
          <t>Rider-delivered order: DELIVERY_CHARGE −₹15 (3.0 km) + COMMISSION; pickup/own-delivery orders: COMMISSION only</t>
        </is>
      </c>
      <c r="H52" s="6" t="inlineStr">
        <is>
          <t>PASS</t>
        </is>
      </c>
      <c r="I52" s="6" t="inlineStr">
        <is>
          <t>PASS</t>
        </is>
      </c>
    </row>
    <row r="53" ht="39" customHeight="1">
      <c r="A53" s="6" t="inlineStr">
        <is>
          <t>RES-0052</t>
        </is>
      </c>
      <c r="B53" s="6" t="inlineStr">
        <is>
          <t>TR-02</t>
        </is>
      </c>
      <c r="C53" s="6" t="inlineStr">
        <is>
          <t>docs/four-features-2026-10/TEST_RESULTS.md</t>
        </is>
      </c>
      <c r="D53" s="6" t="inlineStr">
        <is>
          <t>2. Step by step (UTC times, 8 Oct 2026)</t>
        </is>
      </c>
      <c r="E53" s="6" t="inlineStr">
        <is>
          <t>20:38</t>
        </is>
      </c>
      <c r="F53" s="6" t="inlineStr">
        <is>
          <t>F1 · lock alerts (in-app)</t>
        </is>
      </c>
      <c r="G53" s="6" t="inlineStr">
        <is>
          <t>Customer "Delivery on hold … ticket GRV-000001"; shop "Code locked — support will confirm"; operator + admin "Pickup / own-delivery code locked … GRV-000001"</t>
        </is>
      </c>
      <c r="H53" s="6" t="inlineStr">
        <is>
          <t>PASS</t>
        </is>
      </c>
      <c r="I53" s="6" t="inlineStr">
        <is>
          <t>PASS</t>
        </is>
      </c>
    </row>
    <row r="54" ht="39" customHeight="1">
      <c r="A54" s="6" t="inlineStr">
        <is>
          <t>RES-0053</t>
        </is>
      </c>
      <c r="B54" s="6" t="inlineStr">
        <is>
          <t>TR-02</t>
        </is>
      </c>
      <c r="C54" s="6" t="inlineStr">
        <is>
          <t>docs/four-features-2026-10/TEST_RESULTS.md</t>
        </is>
      </c>
      <c r="D54" s="6" t="inlineStr">
        <is>
          <t>2. Step by step (UTC times, 8 Oct 2026)</t>
        </is>
      </c>
      <c r="E54" s="6" t="inlineStr">
        <is>
          <t>20:53</t>
        </is>
      </c>
      <c r="F54" s="6" t="inlineStr">
        <is>
          <t>F1 · support confirm</t>
        </is>
      </c>
      <c r="G54" s="6" t="inlineStr">
        <is>
          <t>Shop "confirm" without code → 403 "Only operations can confirm a handover without the customer's code."; operator confirm → DELIVERED</t>
        </is>
      </c>
      <c r="H54" s="6" t="inlineStr">
        <is>
          <t>PASS</t>
        </is>
      </c>
      <c r="I54" s="6" t="inlineStr">
        <is>
          <t>PASS</t>
        </is>
      </c>
    </row>
    <row r="55" ht="75" customHeight="1">
      <c r="A55" s="6" t="inlineStr">
        <is>
          <t>RES-0054</t>
        </is>
      </c>
      <c r="B55" s="6" t="inlineStr">
        <is>
          <t>TR-02</t>
        </is>
      </c>
      <c r="C55" s="6" t="inlineStr">
        <is>
          <t>docs/four-features-2026-10/TEST_RESULTS.md</t>
        </is>
      </c>
      <c r="D55" s="6" t="inlineStr">
        <is>
          <t>2. Step by step (UTC times, 8 Oct 2026)</t>
        </is>
      </c>
      <c r="E55" s="6" t="inlineStr">
        <is>
          <t>20:57</t>
        </is>
      </c>
      <c r="F55" s="6" t="inlineStr">
        <is>
          <t>F1 · release rider</t>
        </is>
      </c>
      <c r="G55" s="6" t="inlineStr">
        <is>
          <t>Order 5 GoKesari → Find rider now → rider accepts (ASSIGNED) → shop changes to Pickup 10–11 am → 200, order READY; rider screen back to "Waiting for a delivery offer…"; rider notified "Delivery cancelled — … The shop changed the delivery plan."; customer notified "delivery plan changed … Before: GoKesari…"</t>
        </is>
      </c>
      <c r="H55" s="6" t="inlineStr">
        <is>
          <t>PASS</t>
        </is>
      </c>
      <c r="I55" s="6" t="inlineStr">
        <is>
          <t>PASS</t>
        </is>
      </c>
    </row>
    <row r="56" ht="27" customHeight="1">
      <c r="A56" s="6" t="inlineStr">
        <is>
          <t>RES-0055</t>
        </is>
      </c>
      <c r="B56" s="6" t="inlineStr">
        <is>
          <t>TR-02</t>
        </is>
      </c>
      <c r="C56" s="6" t="inlineStr">
        <is>
          <t>docs/four-features-2026-10/TEST_RESULTS.md</t>
        </is>
      </c>
      <c r="D56" s="6" t="inlineStr">
        <is>
          <t>2. Step by step (UTC times, 8 Oct 2026)</t>
        </is>
      </c>
      <c r="E56" s="6" t="inlineStr">
        <is>
          <t>19:47</t>
        </is>
      </c>
      <c r="F56" s="6" t="inlineStr">
        <is>
          <t>F4 · support told</t>
        </is>
      </c>
      <c r="G56" s="6" t="inlineStr">
        <is>
          <t>Operator/admin in-app "New referral-code request — …" for each request</t>
        </is>
      </c>
      <c r="H56" s="6" t="inlineStr">
        <is>
          <t>PASS</t>
        </is>
      </c>
      <c r="I56" s="6" t="inlineStr">
        <is>
          <t>PASS</t>
        </is>
      </c>
    </row>
    <row r="57" ht="51" customHeight="1">
      <c r="A57" s="6" t="inlineStr">
        <is>
          <t>RES-0056</t>
        </is>
      </c>
      <c r="B57" s="6" t="inlineStr">
        <is>
          <t>TR-02</t>
        </is>
      </c>
      <c r="C57" s="6" t="inlineStr">
        <is>
          <t>docs/four-features-2026-10/TEST_RESULTS.md</t>
        </is>
      </c>
      <c r="D57" s="6" t="inlineStr">
        <is>
          <t>2. Step by step (UTC times, 8 Oct 2026)</t>
        </is>
      </c>
      <c r="E57" s="6" t="inlineStr">
        <is>
          <t>21:00</t>
        </is>
      </c>
      <c r="F57" s="6" t="inlineStr">
        <is>
          <t>F3 · validation (phone)</t>
        </is>
      </c>
      <c r="G57" s="6" t="inlineStr">
        <is>
          <t>IFSC SBIN1234567 → "An IFSC is 11 characters, like SBIN0001234 (the 5th is a zero)."; mismatched re-entry → "The two numbers do not match."; holder name with digits → "Use letters, spaces and . ' &amp; - only." (server repeats every check, 422)</t>
        </is>
      </c>
      <c r="H57" s="6" t="inlineStr">
        <is>
          <t>PASS</t>
        </is>
      </c>
      <c r="I57" s="6" t="inlineStr">
        <is>
          <t>PASS</t>
        </is>
      </c>
    </row>
    <row r="58" ht="27" customHeight="1">
      <c r="A58" s="6" t="inlineStr">
        <is>
          <t>RES-0057</t>
        </is>
      </c>
      <c r="B58" s="6" t="inlineStr">
        <is>
          <t>TR-02</t>
        </is>
      </c>
      <c r="C58" s="6" t="inlineStr">
        <is>
          <t>docs/four-features-2026-10/TEST_RESULTS.md</t>
        </is>
      </c>
      <c r="D58" s="6" t="inlineStr">
        <is>
          <t>2. Step by step (UTC times, 8 Oct 2026)</t>
        </is>
      </c>
      <c r="E58" s="6" t="inlineStr">
        <is>
          <t>21:00</t>
        </is>
      </c>
      <c r="F58" s="6" t="inlineStr">
        <is>
          <t>F3 · save</t>
        </is>
      </c>
      <c r="G58" s="6" t="inlineStr">
        <is>
          <t>Customer account saved PENDING; page shows "Account ••••9012 · IFSC SBIN0001234 · Not verified yet · Verify with ₹1"</t>
        </is>
      </c>
      <c r="H58" s="6" t="inlineStr">
        <is>
          <t>PASS</t>
        </is>
      </c>
      <c r="I58" s="6" t="inlineStr">
        <is>
          <t>PASS</t>
        </is>
      </c>
    </row>
    <row r="59" ht="63" customHeight="1">
      <c r="A59" s="6" t="inlineStr">
        <is>
          <t>RES-0058</t>
        </is>
      </c>
      <c r="B59" s="6" t="inlineStr">
        <is>
          <t>TR-02</t>
        </is>
      </c>
      <c r="C59" s="6" t="inlineStr">
        <is>
          <t>docs/four-features-2026-10/TEST_RESULTS.md</t>
        </is>
      </c>
      <c r="D59" s="6" t="inlineStr">
        <is>
          <t>2. Step by step (UTC times, 8 Oct 2026)</t>
        </is>
      </c>
      <c r="E59" s="6" t="inlineStr">
        <is>
          <t>21:02</t>
        </is>
      </c>
      <c r="F59" s="6" t="inlineStr">
        <is>
          <t>F3 · ₹1 by UPI (Cashfree sandbox)</t>
        </is>
      </c>
      <c r="G59" s="6" t="inlineStr">
        <is>
          <t>Site creates ₹1 order (payment methods upi,dc,cc,nb) → runner pays UPI collect testsuccess@gocash → site confirms with Cashfree → VERIFIED, method UPI, ref 1461827909118528000, matched name recorded (PAYMENT_ONLY: sandbox gives no payer name), refund initiated</t>
        </is>
      </c>
      <c r="H59" s="6" t="inlineStr">
        <is>
          <t>PASS</t>
        </is>
      </c>
      <c r="I59" s="6" t="inlineStr">
        <is>
          <t>PASS</t>
        </is>
      </c>
    </row>
    <row r="60" ht="27" customHeight="1">
      <c r="A60" s="6" t="inlineStr">
        <is>
          <t>RES-0059</t>
        </is>
      </c>
      <c r="B60" s="6" t="inlineStr">
        <is>
          <t>TR-02</t>
        </is>
      </c>
      <c r="C60" s="6" t="inlineStr">
        <is>
          <t>docs/four-features-2026-10/TEST_RESULTS.md</t>
        </is>
      </c>
      <c r="D60" s="6" t="inlineStr">
        <is>
          <t>2. Step by step (UTC times, 8 Oct 2026)</t>
        </is>
      </c>
      <c r="E60" s="6" t="inlineStr">
        <is>
          <t>21:03</t>
        </is>
      </c>
      <c r="F60" s="6" t="inlineStr">
        <is>
          <t>F3 · re-verification</t>
        </is>
      </c>
      <c r="G60" s="6" t="inlineStr">
        <is>
          <t>Changing the account number creates a new PENDING account (old one superseded)</t>
        </is>
      </c>
      <c r="H60" s="6" t="inlineStr">
        <is>
          <t>PASS</t>
        </is>
      </c>
      <c r="I60" s="6" t="inlineStr">
        <is>
          <t>PASS</t>
        </is>
      </c>
    </row>
    <row r="61" ht="39" customHeight="1">
      <c r="A61" s="6" t="inlineStr">
        <is>
          <t>RES-0060</t>
        </is>
      </c>
      <c r="B61" s="6" t="inlineStr">
        <is>
          <t>TR-02</t>
        </is>
      </c>
      <c r="C61" s="6" t="inlineStr">
        <is>
          <t>docs/four-features-2026-10/TEST_RESULTS.md</t>
        </is>
      </c>
      <c r="D61" s="6" t="inlineStr">
        <is>
          <t>2. Step by step (UTC times, 8 Oct 2026)</t>
        </is>
      </c>
      <c r="E61" s="6" t="inlineStr">
        <is>
          <t>21:10</t>
        </is>
      </c>
      <c r="F61" s="6" t="inlineStr">
        <is>
          <t>F3 · ₹1 by credit card</t>
        </is>
      </c>
      <c r="G61" s="6" t="inlineStr">
        <is>
          <t>Card 4111 1111 1111 1111 → Cashfree simulator "Credit Card Transaction", OTP 111000 → VERIFIED, method CREDIT_CARD, ref 1461829571801093120</t>
        </is>
      </c>
      <c r="H61" s="6" t="inlineStr">
        <is>
          <t>PASS</t>
        </is>
      </c>
      <c r="I61" s="6" t="inlineStr">
        <is>
          <t>PASS</t>
        </is>
      </c>
    </row>
    <row r="62" ht="27" customHeight="1">
      <c r="A62" s="6" t="inlineStr">
        <is>
          <t>RES-0061</t>
        </is>
      </c>
      <c r="B62" s="6" t="inlineStr">
        <is>
          <t>TR-02</t>
        </is>
      </c>
      <c r="C62" s="6" t="inlineStr">
        <is>
          <t>docs/four-features-2026-10/TEST_RESULTS.md</t>
        </is>
      </c>
      <c r="D62" s="6" t="inlineStr">
        <is>
          <t>2. Step by step (UTC times, 8 Oct 2026)</t>
        </is>
      </c>
      <c r="E62" s="6" t="inlineStr">
        <is>
          <t>21:13</t>
        </is>
      </c>
      <c r="F62" s="6" t="inlineStr">
        <is>
          <t>F3 · ₹1 by debit card</t>
        </is>
      </c>
      <c r="G62" s="6" t="inlineStr">
        <is>
          <t>Card 4706 1312 1121 2123 → "Debit Card Transaction" → VERIFIED, method DEBIT_CARD, ref 1461830515526142464</t>
        </is>
      </c>
      <c r="H62" s="6" t="inlineStr">
        <is>
          <t>PASS</t>
        </is>
      </c>
      <c r="I62" s="6" t="inlineStr">
        <is>
          <t>PASS</t>
        </is>
      </c>
    </row>
    <row r="63" ht="39" customHeight="1">
      <c r="A63" s="6" t="inlineStr">
        <is>
          <t>RES-0062</t>
        </is>
      </c>
      <c r="B63" s="6" t="inlineStr">
        <is>
          <t>TR-02</t>
        </is>
      </c>
      <c r="C63" s="6" t="inlineStr">
        <is>
          <t>docs/four-features-2026-10/TEST_RESULTS.md</t>
        </is>
      </c>
      <c r="D63" s="6" t="inlineStr">
        <is>
          <t>2. Step by step (UTC times, 8 Oct 2026)</t>
        </is>
      </c>
      <c r="E63" s="6" t="inlineStr">
        <is>
          <t>21:15</t>
        </is>
      </c>
      <c r="F63" s="6" t="inlineStr">
        <is>
          <t>F3 · failure</t>
        </is>
      </c>
      <c r="G63" s="6" t="inlineStr">
        <is>
          <t>UPI testfailure@gocash → FAILED "Simulated response message", refund not required; page shows "Verification failed … Try again with ₹1" (phone)</t>
        </is>
      </c>
      <c r="H63" s="6" t="inlineStr">
        <is>
          <t>PASS</t>
        </is>
      </c>
      <c r="I63" s="6" t="inlineStr">
        <is>
          <t>PASS</t>
        </is>
      </c>
    </row>
    <row r="64" ht="27" customHeight="1">
      <c r="A64" s="6" t="inlineStr">
        <is>
          <t>RES-0063</t>
        </is>
      </c>
      <c r="B64" s="6" t="inlineStr">
        <is>
          <t>TR-02</t>
        </is>
      </c>
      <c r="C64" s="6" t="inlineStr">
        <is>
          <t>docs/four-features-2026-10/TEST_RESULTS.md</t>
        </is>
      </c>
      <c r="D64" s="6" t="inlineStr">
        <is>
          <t>2. Step by step (UTC times, 8 Oct 2026)</t>
        </is>
      </c>
      <c r="E64" s="6" t="inlineStr">
        <is>
          <t>21:20</t>
        </is>
      </c>
      <c r="F64" s="6" t="inlineStr">
        <is>
          <t>F3 · retry by net banking</t>
        </is>
      </c>
      <c r="G64" s="6" t="inlineStr">
        <is>
          <t>Try again → net banking (bank 3003, simulator SUCCESS) → VERIFIED, method NET_BANKING, ref 1461831684971140096</t>
        </is>
      </c>
      <c r="H64" s="6" t="inlineStr">
        <is>
          <t>PASS</t>
        </is>
      </c>
      <c r="I64" s="6" t="inlineStr">
        <is>
          <t>PASS</t>
        </is>
      </c>
    </row>
    <row r="65" ht="27" customHeight="1">
      <c r="A65" s="6" t="inlineStr">
        <is>
          <t>RES-0064</t>
        </is>
      </c>
      <c r="B65" s="6" t="inlineStr">
        <is>
          <t>TR-02</t>
        </is>
      </c>
      <c r="C65" s="6" t="inlineStr">
        <is>
          <t>docs/four-features-2026-10/TEST_RESULTS.md</t>
        </is>
      </c>
      <c r="D65" s="6" t="inlineStr">
        <is>
          <t>2. Step by step (UTC times, 8 Oct 2026)</t>
        </is>
      </c>
      <c r="E65" s="6" t="inlineStr">
        <is>
          <t>21:21</t>
        </is>
      </c>
      <c r="F65" s="6" t="inlineStr">
        <is>
          <t>F3 · daily limit</t>
        </is>
      </c>
      <c r="G65" s="6" t="inlineStr">
        <is>
          <t>6th attempt in a day → 429 "You can try verifying 5 times a day."</t>
        </is>
      </c>
      <c r="H65" s="6" t="inlineStr">
        <is>
          <t>PASS</t>
        </is>
      </c>
      <c r="I65" s="6" t="inlineStr">
        <is>
          <t>PASS</t>
        </is>
      </c>
    </row>
    <row r="66" ht="51" customHeight="1">
      <c r="A66" s="6" t="inlineStr">
        <is>
          <t>RES-0065</t>
        </is>
      </c>
      <c r="B66" s="6" t="inlineStr">
        <is>
          <t>TR-02</t>
        </is>
      </c>
      <c r="C66" s="6" t="inlineStr">
        <is>
          <t>docs/four-features-2026-10/TEST_RESULTS.md</t>
        </is>
      </c>
      <c r="D66" s="6" t="inlineStr">
        <is>
          <t>2. Step by step (UTC times, 8 Oct 2026)</t>
        </is>
      </c>
      <c r="E66" s="6" t="inlineStr">
        <is>
          <t>21:08</t>
        </is>
      </c>
      <c r="F66" s="6" t="inlineStr">
        <is>
          <t>F3 · shop payout UPI</t>
        </is>
      </c>
      <c r="G66" s="6" t="inlineStr">
        <is>
          <t>Shop owner UPI ID testsuccess@gocash (masked te•••••••••@gocash, "Payouts are on hold" shown before) → ₹1 by UPI → VERIFIED, match GATEWAY_UPI (Cashfree's payer UPI ID equals the saved one)</t>
        </is>
      </c>
      <c r="H66" s="6" t="inlineStr">
        <is>
          <t>PASS</t>
        </is>
      </c>
      <c r="I66" s="6" t="inlineStr">
        <is>
          <t>PASS</t>
        </is>
      </c>
    </row>
    <row r="67" ht="27" customHeight="1">
      <c r="A67" s="6" t="inlineStr">
        <is>
          <t>RES-0066</t>
        </is>
      </c>
      <c r="B67" s="6" t="inlineStr">
        <is>
          <t>TR-02</t>
        </is>
      </c>
      <c r="C67" s="6" t="inlineStr">
        <is>
          <t>docs/four-features-2026-10/TEST_RESULTS.md</t>
        </is>
      </c>
      <c r="D67" s="6" t="inlineStr">
        <is>
          <t>2. Step by step (UTC times, 8 Oct 2026)</t>
        </is>
      </c>
      <c r="E67" s="6" t="inlineStr">
        <is>
          <t>21:21</t>
        </is>
      </c>
      <c r="F67" s="6" t="inlineStr">
        <is>
          <t>F3 · finance view</t>
        </is>
      </c>
      <c r="G67" s="6" t="inlineStr">
        <is>
          <t>/admin/bank-accounts lists accounts masked; no full number/UPI ID anywhere in the page HTML; customer → 403</t>
        </is>
      </c>
      <c r="H67" s="6" t="inlineStr">
        <is>
          <t>PASS</t>
        </is>
      </c>
      <c r="I67" s="6" t="inlineStr">
        <is>
          <t>PASS</t>
        </is>
      </c>
    </row>
    <row r="68" ht="27" customHeight="1">
      <c r="A68" s="6" t="inlineStr">
        <is>
          <t>RES-0067</t>
        </is>
      </c>
      <c r="B68" s="6" t="inlineStr">
        <is>
          <t>TR-02</t>
        </is>
      </c>
      <c r="C68" s="6" t="inlineStr">
        <is>
          <t>docs/four-features-2026-10/TEST_RESULTS.md</t>
        </is>
      </c>
      <c r="D68" s="6" t="inlineStr">
        <is>
          <t>2. Step by step (UTC times, 8 Oct 2026)</t>
        </is>
      </c>
      <c r="E68" s="6" t="inlineStr">
        <is>
          <t>—</t>
        </is>
      </c>
      <c r="F68" s="6" t="inlineStr">
        <is>
          <t>F3 · refund status</t>
        </is>
      </c>
      <c r="G68" s="6" t="inlineStr">
        <is>
          <t>Refunds stay "refund pending" after Cashfree accepts them — nothing re-checked the status</t>
        </is>
      </c>
      <c r="H68" s="6" t="inlineStr">
        <is>
          <t>BUG → fixed in follow-up (status refreshed from Cashfree when the account is shown)</t>
        </is>
      </c>
      <c r="I68" s="6" t="inlineStr">
        <is>
          <t>FAIL</t>
        </is>
      </c>
    </row>
    <row r="69" ht="63" customHeight="1">
      <c r="A69" s="6" t="inlineStr">
        <is>
          <t>RES-0068</t>
        </is>
      </c>
      <c r="B69" s="6" t="inlineStr">
        <is>
          <t>TR-02</t>
        </is>
      </c>
      <c r="C69" s="6" t="inlineStr">
        <is>
          <t>docs/four-features-2026-10/TEST_RESULTS.md</t>
        </is>
      </c>
      <c r="D69" s="6" t="inlineStr">
        <is>
          <t>2. Step by step (UTC times, 8 Oct 2026)</t>
        </is>
      </c>
      <c r="E69" s="6" t="inlineStr">
        <is>
          <t>—</t>
        </is>
      </c>
      <c r="F69" s="6" t="inlineStr">
        <is>
          <t>F3 · payout gate</t>
        </is>
      </c>
      <c r="G69" s="6" t="inlineStr">
        <is>
          <t>No shop settlement can exist on test for a new shop until the settlement hold period passes (preparing one would also create drafts for other test shops) — covered by integration tests (process/pay refused without a verified account, allowed after)</t>
        </is>
      </c>
      <c r="H69" s="6" t="inlineStr">
        <is>
          <t>NOT RUN ON STAGING (by design)</t>
        </is>
      </c>
      <c r="I69" s="6" t="inlineStr">
        <is>
          <t>NOT RUN</t>
        </is>
      </c>
    </row>
    <row r="70" ht="39" customHeight="1">
      <c r="A70" s="6" t="inlineStr">
        <is>
          <t>RES-0069</t>
        </is>
      </c>
      <c r="B70" s="6" t="inlineStr">
        <is>
          <t>TR-02</t>
        </is>
      </c>
      <c r="C70" s="6" t="inlineStr">
        <is>
          <t>docs/four-features-2026-10/TEST_RESULTS.md</t>
        </is>
      </c>
      <c r="D70" s="6" t="inlineStr">
        <is>
          <t>2. Step by step (UTC times, 8 Oct 2026)</t>
        </is>
      </c>
      <c r="E70" s="6" t="inlineStr">
        <is>
          <t>21:14</t>
        </is>
      </c>
      <c r="F70" s="6" t="inlineStr">
        <is>
          <t>F4 · admin queue</t>
        </is>
      </c>
      <c r="G70" s="6" t="inlineStr">
        <is>
          <t>Operator issues E2EANIL1 to RCR-5A71759C (CODE_ISSUED), rejects RCR-CA8BBBB6 "Outside our current service area" (REJECTED); email status SENT for all three; customer → 403</t>
        </is>
      </c>
      <c r="H70" s="6" t="inlineStr">
        <is>
          <t>PASS</t>
        </is>
      </c>
      <c r="I70" s="6" t="inlineStr">
        <is>
          <t>PASS</t>
        </is>
      </c>
    </row>
    <row r="71" ht="27" customHeight="1">
      <c r="A71" s="6" t="inlineStr">
        <is>
          <t>RES-0070</t>
        </is>
      </c>
      <c r="B71" s="6" t="inlineStr">
        <is>
          <t>TR-02</t>
        </is>
      </c>
      <c r="C71" s="6" t="inlineStr">
        <is>
          <t>docs/four-features-2026-10/TEST_RESULTS.md</t>
        </is>
      </c>
      <c r="D71" s="6" t="inlineStr">
        <is>
          <t>2. Step by step (UTC times, 8 Oct 2026)</t>
        </is>
      </c>
      <c r="E71" s="6" t="inlineStr">
        <is>
          <t>21:14</t>
        </is>
      </c>
      <c r="F71" s="6" t="inlineStr">
        <is>
          <t>F4 · requester told</t>
        </is>
      </c>
      <c r="G71" s="6" t="inlineStr">
        <is>
          <t>Requester (signed in) emailed "Your referral code is ready — Use referral code E2EANIL1"</t>
        </is>
      </c>
      <c r="H71" s="6" t="inlineStr">
        <is>
          <t>PASS</t>
        </is>
      </c>
      <c r="I71" s="6" t="inlineStr">
        <is>
          <t>PASS</t>
        </is>
      </c>
    </row>
    <row r="72" ht="27" customHeight="1">
      <c r="A72" s="6" t="inlineStr">
        <is>
          <t>RES-0071</t>
        </is>
      </c>
      <c r="B72" s="6" t="inlineStr">
        <is>
          <t>TR-02</t>
        </is>
      </c>
      <c r="C72" s="6" t="inlineStr">
        <is>
          <t>docs/four-features-2026-10/TEST_RESULTS.md</t>
        </is>
      </c>
      <c r="D72" s="6" t="inlineStr">
        <is>
          <t>2. Step by step (UTC times, 8 Oct 2026)</t>
        </is>
      </c>
      <c r="E72" s="6" t="inlineStr">
        <is>
          <t>21:17</t>
        </is>
      </c>
      <c r="F72" s="6" t="inlineStr">
        <is>
          <t>F4 · issued code works</t>
        </is>
      </c>
      <c r="G72" s="6" t="inlineStr">
        <is>
          <t>Pharmacy registered (phone width) with the issued code E2EANIL1</t>
        </is>
      </c>
      <c r="H72" s="6" t="inlineStr">
        <is>
          <t>PASS</t>
        </is>
      </c>
      <c r="I72" s="6" t="inlineStr">
        <is>
          <t>PASS</t>
        </is>
      </c>
    </row>
    <row r="73" ht="27" customHeight="1">
      <c r="A73" s="6" t="inlineStr">
        <is>
          <t>RES-0072</t>
        </is>
      </c>
      <c r="B73" s="6" t="inlineStr">
        <is>
          <t>TR-02</t>
        </is>
      </c>
      <c r="C73" s="6" t="inlineStr">
        <is>
          <t>docs/four-features-2026-10/TEST_RESULTS.md</t>
        </is>
      </c>
      <c r="D73" s="6" t="inlineStr">
        <is>
          <t>2. Step by step (UTC times, 8 Oct 2026)</t>
        </is>
      </c>
      <c r="E73" s="6" t="inlineStr">
        <is>
          <t>21:19</t>
        </is>
      </c>
      <c r="F73" s="6" t="inlineStr">
        <is>
          <t>F2 · drug licence (phone)</t>
        </is>
      </c>
      <c r="G73" s="6" t="inlineStr">
        <is>
          <t>Pharmacy: "Drug licence — Required for: Medical shops and pharmacies"; number + expiry + PDF → SUBMITTED ••••3456</t>
        </is>
      </c>
      <c r="H73" s="6" t="inlineStr">
        <is>
          <t>PASS</t>
        </is>
      </c>
      <c r="I73" s="6" t="inlineStr">
        <is>
          <t>PASS</t>
        </is>
      </c>
    </row>
    <row r="74" ht="27" customHeight="1">
      <c r="A74" s="6" t="inlineStr">
        <is>
          <t>RES-0073</t>
        </is>
      </c>
      <c r="B74" s="6" t="inlineStr">
        <is>
          <t>TR-02</t>
        </is>
      </c>
      <c r="C74" s="6" t="inlineStr">
        <is>
          <t>docs/four-features-2026-10/TEST_RESULTS.md</t>
        </is>
      </c>
      <c r="D74" s="6" t="inlineStr">
        <is>
          <t>2. Step by step (UTC times, 8 Oct 2026)</t>
        </is>
      </c>
      <c r="E74" s="6" t="inlineStr">
        <is>
          <t>21:19</t>
        </is>
      </c>
      <c r="F74" s="6" t="inlineStr">
        <is>
          <t>F2 · medical registration</t>
        </is>
      </c>
      <c r="G74" s="6" t="inlineStr">
        <is>
          <t>Clinic (category Doctor / Clinic): number + issuing council "Maharashtra Medical Council" + PDF → SUBMITTED</t>
        </is>
      </c>
      <c r="H74" s="6" t="inlineStr">
        <is>
          <t>PASS</t>
        </is>
      </c>
      <c r="I74" s="6" t="inlineStr">
        <is>
          <t>PASS</t>
        </is>
      </c>
    </row>
    <row r="75" ht="51" customHeight="1">
      <c r="A75" s="6" t="inlineStr">
        <is>
          <t>RES-0074</t>
        </is>
      </c>
      <c r="B75" s="6" t="inlineStr">
        <is>
          <t>TR-02</t>
        </is>
      </c>
      <c r="C75" s="6" t="inlineStr">
        <is>
          <t>docs/four-features-2026-10/TEST_RESULTS.md</t>
        </is>
      </c>
      <c r="D75" s="6" t="inlineStr">
        <is>
          <t>2. Step by step (UTC times, 8 Oct 2026)</t>
        </is>
      </c>
      <c r="E75" s="6" t="inlineStr">
        <is>
          <t>21:20</t>
        </is>
      </c>
      <c r="F75" s="6" t="inlineStr">
        <is>
          <t>F2 · reject / approve</t>
        </is>
      </c>
      <c r="G75" s="6" t="inlineStr">
        <is>
          <t>Operator rejects drug licence "The copy is not readable — please upload a clear scan" → owner sees "Rejected — upload again … Rejected by operations: …"; approves medical registration → APPROVED</t>
        </is>
      </c>
      <c r="H75" s="6" t="inlineStr">
        <is>
          <t>PASS</t>
        </is>
      </c>
      <c r="I75" s="6" t="inlineStr">
        <is>
          <t>PASS</t>
        </is>
      </c>
    </row>
    <row r="76" ht="51" customHeight="1">
      <c r="A76" s="6" t="inlineStr">
        <is>
          <t>RES-0075</t>
        </is>
      </c>
      <c r="B76" s="6" t="inlineStr">
        <is>
          <t>TR-02</t>
        </is>
      </c>
      <c r="C76" s="6" t="inlineStr">
        <is>
          <t>docs/four-features-2026-10/TEST_RESULTS.md</t>
        </is>
      </c>
      <c r="D76" s="6" t="inlineStr">
        <is>
          <t>2. Step by step (UTC times, 8 Oct 2026)</t>
        </is>
      </c>
      <c r="E76" s="6" t="inlineStr">
        <is>
          <t>21:23</t>
        </is>
      </c>
      <c r="F76" s="6" t="inlineStr">
        <is>
          <t>F2 · expiry reminder</t>
        </is>
      </c>
      <c r="G76" s="6" t="inlineStr">
        <is>
          <t>Bakery FSSAI re-uploaded with expiry 29 Oct 2026 → operator "Check all live shops now" → {"shopsChecked":8,"requirementsStarted":7,"remindersSent":1}; "Expiring soon" filter lists it</t>
        </is>
      </c>
      <c r="H76" s="6" t="inlineStr">
        <is>
          <t>PASS</t>
        </is>
      </c>
      <c r="I76" s="6" t="inlineStr">
        <is>
          <t>PASS</t>
        </is>
      </c>
    </row>
    <row r="77" ht="51" customHeight="1">
      <c r="A77" s="6" t="inlineStr">
        <is>
          <t>RES-0076</t>
        </is>
      </c>
      <c r="B77" s="6" t="inlineStr">
        <is>
          <t>TR-02</t>
        </is>
      </c>
      <c r="C77" s="6" t="inlineStr">
        <is>
          <t>docs/four-features-2026-10/TEST_RESULTS.md</t>
        </is>
      </c>
      <c r="D77" s="6" t="inlineStr">
        <is>
          <t>2. Step by step (UTC times, 8 Oct 2026)</t>
        </is>
      </c>
      <c r="E77" s="6" t="inlineStr">
        <is>
          <t>21:23</t>
        </is>
      </c>
      <c r="F77" s="6" t="inlineStr">
        <is>
          <t>F2 · existing live shops</t>
        </is>
      </c>
      <c r="G77" s="6" t="inlineStr">
        <is>
          <t>The same check started the 15-day grace for existing live shops missing a document (QA Test Bakery A, Agtci, Chikan Shop, Asmy Exports, EcoMed Solutions ×2, Samarth tea center …): "Not uploaded · Deadline 24 Oct 2026" — they keep trading</t>
        </is>
      </c>
      <c r="H77" s="6" t="inlineStr">
        <is>
          <t>PASS</t>
        </is>
      </c>
      <c r="I77" s="6" t="inlineStr">
        <is>
          <t>PASS</t>
        </is>
      </c>
    </row>
    <row r="78" ht="75" customHeight="1">
      <c r="A78" s="6" t="inlineStr">
        <is>
          <t>RES-0077</t>
        </is>
      </c>
      <c r="B78" s="6" t="inlineStr">
        <is>
          <t>TR-02</t>
        </is>
      </c>
      <c r="C78" s="6" t="inlineStr">
        <is>
          <t>docs/four-features-2026-10/TEST_RESULTS.md</t>
        </is>
      </c>
      <c r="D78" s="6" t="inlineStr">
        <is>
          <t>2. Step by step (UTC times, 8 Oct 2026)</t>
        </is>
      </c>
      <c r="E78" s="6" t="inlineStr">
        <is>
          <t>21:28</t>
        </is>
      </c>
      <c r="F78" s="6" t="inlineStr">
        <is>
          <t>F2 · blocked after grace</t>
        </is>
      </c>
      <c r="G78" s="6" t="inlineStr">
        <is>
          <t>Grace 0 (Business rules) → operator rejects bakery FSSAI "Licence number does not match the copy" → grace restored to 15. Shop "Accept order" → 409 "E2E Four Features Bakery can't take orders until its FSSAI licence is uploaded."; dashboard "Your shop cannot accept orders"; customer checkout → 409 same message</t>
        </is>
      </c>
      <c r="H78" s="6" t="inlineStr">
        <is>
          <t>PASS (note: the cart page does not warn before checkout)</t>
        </is>
      </c>
      <c r="I78" s="6" t="inlineStr">
        <is>
          <t>PASS</t>
        </is>
      </c>
    </row>
    <row r="79" ht="27" customHeight="1">
      <c r="A79" s="6" t="inlineStr">
        <is>
          <t>RES-0078</t>
        </is>
      </c>
      <c r="B79" s="6" t="inlineStr">
        <is>
          <t>TR-02</t>
        </is>
      </c>
      <c r="C79" s="6" t="inlineStr">
        <is>
          <t>docs/four-features-2026-10/TEST_RESULTS.md</t>
        </is>
      </c>
      <c r="D79" s="6" t="inlineStr">
        <is>
          <t>2. Step by step (UTC times, 8 Oct 2026)</t>
        </is>
      </c>
      <c r="E79" s="6" t="inlineStr">
        <is>
          <t>21:31</t>
        </is>
      </c>
      <c r="F79" s="6" t="inlineStr">
        <is>
          <t>F2 · unblocked</t>
        </is>
      </c>
      <c r="G79" s="6" t="inlineStr">
        <is>
          <t>New FSSAI upload (SUBMITTED) → accepting the waiting order works again</t>
        </is>
      </c>
      <c r="H79" s="6" t="inlineStr">
        <is>
          <t>PASS</t>
        </is>
      </c>
      <c r="I79" s="6" t="inlineStr">
        <is>
          <t>PASS</t>
        </is>
      </c>
    </row>
    <row r="80" ht="39" customHeight="1">
      <c r="A80" s="6" t="inlineStr">
        <is>
          <t>RES-0079</t>
        </is>
      </c>
      <c r="B80" s="6" t="inlineStr">
        <is>
          <t>TR-02</t>
        </is>
      </c>
      <c r="C80" s="6" t="inlineStr">
        <is>
          <t>docs/four-features-2026-10/TEST_RESULTS.md</t>
        </is>
      </c>
      <c r="D80" s="6" t="inlineStr">
        <is>
          <t>2. Step by step (UTC times, 8 Oct 2026)</t>
        </is>
      </c>
      <c r="E80" s="6" t="inlineStr">
        <is>
          <t>21:32</t>
        </is>
      </c>
      <c r="F80" s="6" t="inlineStr">
        <is>
          <t>F2 · emails</t>
        </is>
      </c>
      <c r="G80" s="6" t="inlineStr">
        <is>
          <t>Owner emails: "FSSAI licence required" (at registration), "FSSAI licence approved", "FSSAI licence rejected: Licence number does not match the copy…" (queued, ~4 min)</t>
        </is>
      </c>
      <c r="H80" s="6" t="inlineStr">
        <is>
          <t>PASS</t>
        </is>
      </c>
      <c r="I80" s="6" t="inlineStr">
        <is>
          <t>PASS</t>
        </is>
      </c>
    </row>
    <row r="81" ht="27" customHeight="1">
      <c r="A81" s="6" t="inlineStr">
        <is>
          <t>RES-0080</t>
        </is>
      </c>
      <c r="B81" s="6" t="inlineStr">
        <is>
          <t>TR-02</t>
        </is>
      </c>
      <c r="C81" s="6" t="inlineStr">
        <is>
          <t>docs/four-features-2026-10/TEST_RESULTS.md</t>
        </is>
      </c>
      <c r="D81" s="6" t="inlineStr">
        <is>
          <t>2. Step by step (UTC times, 8 Oct 2026)</t>
        </is>
      </c>
      <c r="E81" s="6" t="inlineStr">
        <is>
          <t>21:35</t>
        </is>
      </c>
      <c r="F81" s="6" t="inlineStr">
        <is>
          <t>Regression · cancel/refund</t>
        </is>
      </c>
      <c r="G81" s="6" t="inlineStr">
        <is>
          <t>Customer cancels a confirmed order → REFUNDED, wallet ₹80 → ₹140</t>
        </is>
      </c>
      <c r="H81" s="6" t="inlineStr">
        <is>
          <t>PASS</t>
        </is>
      </c>
      <c r="I81" s="6" t="inlineStr">
        <is>
          <t>PASS</t>
        </is>
      </c>
    </row>
    <row r="82" ht="39" customHeight="1">
      <c r="A82" s="6" t="inlineStr">
        <is>
          <t>RES-0081</t>
        </is>
      </c>
      <c r="B82" s="6" t="inlineStr">
        <is>
          <t>TR-02</t>
        </is>
      </c>
      <c r="C82" s="6" t="inlineStr">
        <is>
          <t>docs/four-features-2026-10/TEST_RESULTS.md</t>
        </is>
      </c>
      <c r="D82" s="6" t="inlineStr">
        <is>
          <t>2. Step by step (UTC times, 8 Oct 2026)</t>
        </is>
      </c>
      <c r="E82" s="6" t="inlineStr">
        <is>
          <t>21:44</t>
        </is>
      </c>
      <c r="F82" s="6" t="inlineStr">
        <is>
          <t>Regression · approval</t>
        </is>
      </c>
      <c r="G82" s="6" t="inlineStr">
        <is>
          <t>Non-food stationery shop: seller documents verified, fee recorded → auto-approved (rule autoApproveShop on test) without any legal document</t>
        </is>
      </c>
      <c r="H82" s="6" t="inlineStr">
        <is>
          <t>PASS</t>
        </is>
      </c>
      <c r="I82" s="6" t="inlineStr">
        <is>
          <t>PASS</t>
        </is>
      </c>
    </row>
    <row r="83" ht="51" customHeight="1">
      <c r="A83" s="6" t="inlineStr">
        <is>
          <t>RES-0082</t>
        </is>
      </c>
      <c r="B83" s="6" t="inlineStr">
        <is>
          <t>TR-02</t>
        </is>
      </c>
      <c r="C83" s="6" t="inlineStr">
        <is>
          <t>docs/four-features-2026-10/TEST_RESULTS.md</t>
        </is>
      </c>
      <c r="D83" s="6" t="inlineStr">
        <is>
          <t>2. Step by step (UTC times, 8 Oct 2026)</t>
        </is>
      </c>
      <c r="E83" s="6" t="inlineStr">
        <is>
          <t>21:45</t>
        </is>
      </c>
      <c r="F83" s="6" t="inlineStr">
        <is>
          <t>F2 · new requirement on a live shop (phone)</t>
        </is>
      </c>
      <c r="G83" s="6" t="inlineStr">
        <is>
          <t>Stationery shop adds the Bakery product category → dashboard "Upload your FSSAI licence — Keep taking orders until 24 Oct 2026; after that orders stop until it is uploaded"; legal page "Upload by 24 Oct 2026"</t>
        </is>
      </c>
      <c r="H83" s="6" t="inlineStr">
        <is>
          <t>PASS (cosmetic: "the fssai licence" lower-cased — fixed in follow-up)</t>
        </is>
      </c>
      <c r="I83" s="6" t="inlineStr">
        <is>
          <t>PASS</t>
        </is>
      </c>
    </row>
    <row r="84" ht="63" customHeight="1">
      <c r="A84" s="6" t="inlineStr">
        <is>
          <t>RES-0083</t>
        </is>
      </c>
      <c r="B84" s="6" t="inlineStr">
        <is>
          <t>TR-03</t>
        </is>
      </c>
      <c r="C84" s="6" t="inlineStr">
        <is>
          <t>docs/four-features-2026-10/TEST_RESULTS.md</t>
        </is>
      </c>
      <c r="D84" s="6" t="inlineStr">
        <is>
          <t>4. Follow-up fixes re-checked on test</t>
        </is>
      </c>
      <c r="E84" s="6" t="inlineStr">
        <is>
          <t>22:13</t>
        </is>
      </c>
      <c r="F84" s="6" t="inlineStr">
        <is>
          <t>S-2 ₹1 refund status</t>
        </is>
      </c>
      <c r="G84" s="6" t="inlineStr">
        <is>
          <t>Shop owner opens Bank account (phone): "Verified on 9/10/2026 by UPI · name Ramesh Joshi · ref 1461828618859418624 · ₹1 refund refunded". Before the fix it read "pending". Database: the attempt is REFUNDED, refunded_at 22:13:38, recorded when the page was opened.</t>
        </is>
      </c>
      <c r="H84" s="6" t="inlineStr">
        <is>
          <t>PASS</t>
        </is>
      </c>
      <c r="I84" s="6" t="inlineStr">
        <is>
          <t>PASS</t>
        </is>
      </c>
    </row>
    <row r="85" ht="39" customHeight="1">
      <c r="A85" s="6" t="inlineStr">
        <is>
          <t>RES-0084</t>
        </is>
      </c>
      <c r="B85" s="6" t="inlineStr">
        <is>
          <t>TR-03</t>
        </is>
      </c>
      <c r="C85" s="6" t="inlineStr">
        <is>
          <t>docs/four-features-2026-10/TEST_RESULTS.md</t>
        </is>
      </c>
      <c r="D85" s="6" t="inlineStr">
        <is>
          <t>4. Follow-up fixes re-checked on test</t>
        </is>
      </c>
      <c r="E85" s="6" t="inlineStr">
        <is>
          <t>22:18</t>
        </is>
      </c>
      <c r="F85" s="6" t="inlineStr">
        <is>
          <t>S-2 finance view</t>
        </is>
      </c>
      <c r="G85" s="6" t="inlineStr">
        <is>
          <t>Admin → Bank accounts: the shop's account "refund refunded". No full account number or UPI ID on the page. Customer GET /api/admin/bank-accounts → 403.</t>
        </is>
      </c>
      <c r="H85" s="6" t="inlineStr">
        <is>
          <t>PASS</t>
        </is>
      </c>
      <c r="I85" s="6" t="inlineStr">
        <is>
          <t>PASS</t>
        </is>
      </c>
    </row>
    <row r="86" ht="39" customHeight="1">
      <c r="A86" s="6" t="inlineStr">
        <is>
          <t>RES-0085</t>
        </is>
      </c>
      <c r="B86" s="6" t="inlineStr">
        <is>
          <t>TR-03</t>
        </is>
      </c>
      <c r="C86" s="6" t="inlineStr">
        <is>
          <t>docs/four-features-2026-10/TEST_RESULTS.md</t>
        </is>
      </c>
      <c r="D86" s="6" t="inlineStr">
        <is>
          <t>4. Follow-up fixes re-checked on test</t>
        </is>
      </c>
      <c r="E86" s="6" t="inlineStr">
        <is>
          <t>22:13</t>
        </is>
      </c>
      <c r="F86" s="6" t="inlineStr">
        <is>
          <t>S-3 casing</t>
        </is>
      </c>
      <c r="G86" s="6" t="inlineStr">
        <is>
          <t>Bakery legal page: "FSSAI licence"; no lower-case "fssai" anywhere. Stationery shop (phone): "After that date it cannot accept orders until the FSSAI licence is uploaded."</t>
        </is>
      </c>
      <c r="H86" s="6" t="inlineStr">
        <is>
          <t>PASS</t>
        </is>
      </c>
      <c r="I86" s="6" t="inlineStr">
        <is>
          <t>PASS</t>
        </is>
      </c>
    </row>
    <row r="87" ht="39" customHeight="1">
      <c r="A87" s="6" t="inlineStr">
        <is>
          <t>RES-0086</t>
        </is>
      </c>
      <c r="B87" s="6" t="inlineStr">
        <is>
          <t>TR-03</t>
        </is>
      </c>
      <c r="C87" s="6" t="inlineStr">
        <is>
          <t>docs/four-features-2026-10/TEST_RESULTS.md</t>
        </is>
      </c>
      <c r="D87" s="6" t="inlineStr">
        <is>
          <t>4. Follow-up fixes re-checked on test</t>
        </is>
      </c>
      <c r="E87" s="6" t="inlineStr">
        <is>
          <t>22:14</t>
        </is>
      </c>
      <c r="F87" s="6" t="inlineStr">
        <is>
          <t>S-3 referral error</t>
        </is>
      </c>
      <c r="G87" s="6" t="inlineStr">
        <is>
          <t>Registration form filled, no code, Submit → "A referral code is required to register a shop…", no request sent. Typing "E2E" → the error is gone at once and the hint is back.</t>
        </is>
      </c>
      <c r="H87" s="6" t="inlineStr">
        <is>
          <t>PASS</t>
        </is>
      </c>
      <c r="I87" s="6" t="inlineStr">
        <is>
          <t>PASS</t>
        </is>
      </c>
    </row>
    <row r="88" ht="51" customHeight="1">
      <c r="A88" s="6" t="inlineStr">
        <is>
          <t>RES-0087</t>
        </is>
      </c>
      <c r="B88" s="6" t="inlineStr">
        <is>
          <t>TR-03</t>
        </is>
      </c>
      <c r="C88" s="6" t="inlineStr">
        <is>
          <t>docs/four-features-2026-10/TEST_RESULTS.md</t>
        </is>
      </c>
      <c r="D88" s="6" t="inlineStr">
        <is>
          <t>4. Follow-up fixes re-checked on test</t>
        </is>
      </c>
      <c r="E88" s="6" t="inlineStr">
        <is>
          <t>22:16</t>
        </is>
      </c>
      <c r="F88" s="6" t="inlineStr">
        <is>
          <t>S-1 repeated "mark ready"</t>
        </is>
      </c>
      <c r="G88" s="6" t="inlineStr">
        <is>
          <t>New order DB-20261008-NMBAE9: shop picks Pickup, Fri 9 Oct 7–8 am, "Packed — mark ready" → 200 READY. The same request sent twice more (a double tap or a retry) → 200, 200 with the same plan. Before the fix: 409.</t>
        </is>
      </c>
      <c r="H88" s="6" t="inlineStr">
        <is>
          <t>PASS</t>
        </is>
      </c>
      <c r="I88" s="6" t="inlineStr">
        <is>
          <t>PASS</t>
        </is>
      </c>
    </row>
    <row r="89" ht="39" customHeight="1">
      <c r="A89" s="6" t="inlineStr">
        <is>
          <t>RES-0088</t>
        </is>
      </c>
      <c r="B89" s="6" t="inlineStr">
        <is>
          <t>TR-03</t>
        </is>
      </c>
      <c r="C89" s="6" t="inlineStr">
        <is>
          <t>docs/four-features-2026-10/TEST_RESULTS.md</t>
        </is>
      </c>
      <c r="D89" s="6" t="inlineStr">
        <is>
          <t>4. Follow-up fixes re-checked on test</t>
        </is>
      </c>
      <c r="E89" s="6" t="inlineStr">
        <is>
          <t>22:16</t>
        </is>
      </c>
      <c r="F89" s="6" t="inlineStr">
        <is>
          <t>S-3 rider-search note</t>
        </is>
      </c>
      <c r="G89" s="6" t="inlineStr">
        <is>
          <t>NMBAE9's card (pickup, READY): "Pickup from the shop · Fri 9 Oct, 7–8 am · Change · Customer's pickup code"; rider-search note not shown (0 elements).</t>
        </is>
      </c>
      <c r="H89" s="6" t="inlineStr">
        <is>
          <t>PASS</t>
        </is>
      </c>
      <c r="I89" s="6" t="inlineStr">
        <is>
          <t>PASS</t>
        </is>
      </c>
    </row>
    <row r="90" ht="39" customHeight="1">
      <c r="A90" s="6" t="inlineStr">
        <is>
          <t>RES-0089</t>
        </is>
      </c>
      <c r="B90" s="6" t="inlineStr">
        <is>
          <t>TR-03</t>
        </is>
      </c>
      <c r="C90" s="6" t="inlineStr">
        <is>
          <t>docs/four-features-2026-10/TEST_RESULTS.md</t>
        </is>
      </c>
      <c r="D90" s="6" t="inlineStr">
        <is>
          <t>4. Follow-up fixes re-checked on test</t>
        </is>
      </c>
      <c r="E90" s="6" t="inlineStr">
        <is>
          <t>22:17</t>
        </is>
      </c>
      <c r="F90" s="6" t="inlineStr">
        <is>
          <t>S-1 repeated pickup</t>
        </is>
      </c>
      <c r="G90" s="6" t="inlineStr">
        <is>
          <t>Customer's My Orders shows pickup code 2309. Shop enters it → 200 DELIVERED. The same completion sent twice more → 200, 200 DELIVERED.</t>
        </is>
      </c>
      <c r="H90" s="6" t="inlineStr">
        <is>
          <t>PASS</t>
        </is>
      </c>
      <c r="I90" s="6" t="inlineStr">
        <is>
          <t>PASS</t>
        </is>
      </c>
    </row>
    <row r="91" ht="39" customHeight="1">
      <c r="A91" s="6" t="inlineStr">
        <is>
          <t>RES-0090</t>
        </is>
      </c>
      <c r="B91" s="6" t="inlineStr">
        <is>
          <t>TR-03</t>
        </is>
      </c>
      <c r="C91" s="6" t="inlineStr">
        <is>
          <t>docs/four-features-2026-10/TEST_RESULTS.md</t>
        </is>
      </c>
      <c r="D91" s="6" t="inlineStr">
        <is>
          <t>4. Follow-up fixes re-checked on test</t>
        </is>
      </c>
      <c r="E91" s="6" t="inlineStr">
        <is>
          <t>22:18</t>
        </is>
      </c>
      <c r="F91" s="6" t="inlineStr">
        <is>
          <t>S-1 nothing twice</t>
        </is>
      </c>
      <c r="G91" s="6" t="inlineStr">
        <is>
          <t>Database for NMBAE9: one order.fulfilment_set, one order.ready, one order.delivered; one COMMISSION (₹0.40) and no DELIVERY_CHARGE in the shop's ledger.</t>
        </is>
      </c>
      <c r="H91" s="6" t="inlineStr">
        <is>
          <t>PASS</t>
        </is>
      </c>
      <c r="I91" s="6" t="inlineStr">
        <is>
          <t>PASS</t>
        </is>
      </c>
    </row>
    <row r="92" ht="51" customHeight="1">
      <c r="A92" s="6" t="inlineStr">
        <is>
          <t>RES-0091</t>
        </is>
      </c>
      <c r="B92" s="6" t="inlineStr">
        <is>
          <t>TR-04</t>
        </is>
      </c>
      <c r="C92" s="6" t="inlineStr">
        <is>
          <t>docs/four-features-2026-10/TEST_RESULTS.md</t>
        </is>
      </c>
      <c r="D92" s="6" t="inlineStr">
        <is>
          <t>5. The owner's decisions (9 Oct 2026), tested on test</t>
        </is>
      </c>
      <c r="E92" s="6" t="inlineStr">
        <is>
          <t>05:03</t>
        </is>
      </c>
      <c r="F92" s="6" t="inlineStr">
        <is>
          <t>Setup</t>
        </is>
      </c>
      <c r="G92" s="6" t="inlineStr">
        <is>
          <t>The customer's current account KKBK0000111 ••••5566 verified with ₹1 by UPI, through the Cashfree sandbox. The daily attempt limit was raised to 10 for this step, then set back to 5</t>
        </is>
      </c>
      <c r="H92" s="6" t="inlineStr">
        <is>
          <t>PASS</t>
        </is>
      </c>
      <c r="I92" s="6" t="inlineStr">
        <is>
          <t>PASS</t>
        </is>
      </c>
    </row>
    <row r="93" ht="63" customHeight="1">
      <c r="A93" s="6" t="inlineStr">
        <is>
          <t>RES-0092</t>
        </is>
      </c>
      <c r="B93" s="6" t="inlineStr">
        <is>
          <t>TR-04</t>
        </is>
      </c>
      <c r="C93" s="6" t="inlineStr">
        <is>
          <t>docs/four-features-2026-10/TEST_RESULTS.md</t>
        </is>
      </c>
      <c r="D93" s="6" t="inlineStr">
        <is>
          <t>5. The owner's decisions (9 Oct 2026), tested on test</t>
        </is>
      </c>
      <c r="E93" s="6" t="inlineStr">
        <is>
          <t>05:20</t>
        </is>
      </c>
      <c r="F93" s="6" t="inlineStr">
        <is>
          <t>O-1 · shop (phone)</t>
        </is>
      </c>
      <c r="G93" s="6" t="inlineStr">
        <is>
          <t>Order DB-20261009-KLK7DD (₹40 bread + ₹20 delivery). In the planner, choosing Pickup shows "With pickup, the customer's ₹20.00 delivery fee goes back to them". "Packed — mark ready" → 200 READY. The card now shows ₹40 and "The customer's ₹20.00 delivery fee was given back for pickup"</t>
        </is>
      </c>
      <c r="H93" s="6" t="inlineStr">
        <is>
          <t>PASS</t>
        </is>
      </c>
      <c r="I93" s="6" t="inlineStr">
        <is>
          <t>PASS</t>
        </is>
      </c>
    </row>
    <row r="94" ht="63" customHeight="1">
      <c r="A94" s="6" t="inlineStr">
        <is>
          <t>RES-0093</t>
        </is>
      </c>
      <c r="B94" s="6" t="inlineStr">
        <is>
          <t>TR-04</t>
        </is>
      </c>
      <c r="C94" s="6" t="inlineStr">
        <is>
          <t>docs/four-features-2026-10/TEST_RESULTS.md</t>
        </is>
      </c>
      <c r="D94" s="6" t="inlineStr">
        <is>
          <t>5. The owner's decisions (9 Oct 2026), tested on test</t>
        </is>
      </c>
      <c r="E94" s="6" t="inlineStr">
        <is>
          <t>05:20</t>
        </is>
      </c>
      <c r="F94" s="6" t="inlineStr">
        <is>
          <t>O-1 · customer (phone)</t>
        </is>
      </c>
      <c r="G94" s="6" t="inlineStr">
        <is>
          <t>My Orders: "No delivery for this order: your ₹20.00 delivery fee was given back". Wallet: "Delivery fee refund: order DB-20261009-KLK7DD is collected from the shop", +₹20. Email "Ready for pickup … Your ₹20.00 delivery fee has been refunded…" arrived</t>
        </is>
      </c>
      <c r="H94" s="6" t="inlineStr">
        <is>
          <t>PASS</t>
        </is>
      </c>
      <c r="I94" s="6" t="inlineStr">
        <is>
          <t>PASS</t>
        </is>
      </c>
    </row>
    <row r="95" ht="63" customHeight="1">
      <c r="A95" s="6" t="inlineStr">
        <is>
          <t>RES-0094</t>
        </is>
      </c>
      <c r="B95" s="6" t="inlineStr">
        <is>
          <t>TR-04</t>
        </is>
      </c>
      <c r="C95" s="6" t="inlineStr">
        <is>
          <t>docs/four-features-2026-10/TEST_RESULTS.md</t>
        </is>
      </c>
      <c r="D95" s="6" t="inlineStr">
        <is>
          <t>5. The owner's decisions (9 Oct 2026), tested on test</t>
        </is>
      </c>
      <c r="E95" s="6" t="inlineStr">
        <is>
          <t>05:21</t>
        </is>
      </c>
      <c r="F95" s="6" t="inlineStr">
        <is>
          <t>O-1 · completion</t>
        </is>
      </c>
      <c r="G95" s="6" t="inlineStr">
        <is>
          <t>Pickup code 3773 → DELIVERED. Shop wallet: COMMISSION ₹0.40 only. Database: the order's delivery fee is 0, total ₹40, refunded ₹20; the plan records ₹20 at 05:20:12; one wallet refund of ₹20. Pickup orders from before the change are unchanged</t>
        </is>
      </c>
      <c r="H95" s="6" t="inlineStr">
        <is>
          <t>PASS</t>
        </is>
      </c>
      <c r="I95" s="6" t="inlineStr">
        <is>
          <t>PASS</t>
        </is>
      </c>
    </row>
    <row r="96" ht="75" customHeight="1">
      <c r="A96" s="6" t="inlineStr">
        <is>
          <t>RES-0095</t>
        </is>
      </c>
      <c r="B96" s="6" t="inlineStr">
        <is>
          <t>TR-04</t>
        </is>
      </c>
      <c r="C96" s="6" t="inlineStr">
        <is>
          <t>docs/four-features-2026-10/TEST_RESULTS.md</t>
        </is>
      </c>
      <c r="D96" s="6" t="inlineStr">
        <is>
          <t>5. The owner's decisions (9 Oct 2026), tested on test</t>
        </is>
      </c>
      <c r="E96" s="6" t="inlineStr">
        <is>
          <t>05:22</t>
        </is>
      </c>
      <c r="F96" s="6" t="inlineStr">
        <is>
          <t>O-2 · customer (phone)</t>
        </is>
      </c>
      <c r="G96" s="6" t="inlineStr">
        <is>
          <t>My Wallet → "Send a refund to your bank" lists the ₹20 fee refund, and the ₹60 cancellation refund of DB-20261008-SPQS44 limited to the ₹40 still in the wallet. "Send ₹20.00 to my bank" → "Yes, send it" → 201 REQUESTED. The wallet drops by ₹20; the other refund now offers ₹20. Email "Refund on its way to your bank" arrived</t>
        </is>
      </c>
      <c r="H96" s="6" t="inlineStr">
        <is>
          <t>PASS</t>
        </is>
      </c>
      <c r="I96" s="6" t="inlineStr">
        <is>
          <t>PASS</t>
        </is>
      </c>
    </row>
    <row r="97" ht="75" customHeight="1">
      <c r="A97" s="6" t="inlineStr">
        <is>
          <t>RES-0096</t>
        </is>
      </c>
      <c r="B97" s="6" t="inlineStr">
        <is>
          <t>TR-04</t>
        </is>
      </c>
      <c r="C97" s="6" t="inlineStr">
        <is>
          <t>docs/four-features-2026-10/TEST_RESULTS.md</t>
        </is>
      </c>
      <c r="D97" s="6" t="inlineStr">
        <is>
          <t>5. The owner's decisions (9 Oct 2026), tested on test</t>
        </is>
      </c>
      <c r="E97" s="6" t="inlineStr">
        <is>
          <t>05:23</t>
        </is>
      </c>
      <c r="F97" s="6" t="inlineStr">
        <is>
          <t>O-2 · finance (desktop)</t>
        </is>
      </c>
      <c r="G97" s="6" t="inlineStr">
        <is>
          <t>Admin → Refunds to bank → To send. "Show account details" shows the full account to finance (12 digits, ending 5566, IFSC KKBK0000111; the look-up is audited). "Mark sent from bank" → PROCESSING. "Paid" with UTR TESTUTR20261009A → PAID. Customer: "Paid to your bank · bank reference TESTUTR20261009A" and the email "Refund sent to your bank (bank reference …)"</t>
        </is>
      </c>
      <c r="H97" s="6" t="inlineStr">
        <is>
          <t>PASS</t>
        </is>
      </c>
      <c r="I97" s="6" t="inlineStr">
        <is>
          <t>PASS</t>
        </is>
      </c>
    </row>
    <row r="98" ht="51" customHeight="1">
      <c r="A98" s="6" t="inlineStr">
        <is>
          <t>RES-0097</t>
        </is>
      </c>
      <c r="B98" s="6" t="inlineStr">
        <is>
          <t>TR-04</t>
        </is>
      </c>
      <c r="C98" s="6" t="inlineStr">
        <is>
          <t>docs/four-features-2026-10/TEST_RESULTS.md</t>
        </is>
      </c>
      <c r="D98" s="6" t="inlineStr">
        <is>
          <t>5. The owner's decisions (9 Oct 2026), tested on test</t>
        </is>
      </c>
      <c r="E98" s="6" t="inlineStr">
        <is>
          <t>05:24</t>
        </is>
      </c>
      <c r="F98" s="6" t="inlineStr">
        <is>
          <t>O-2 · failed</t>
        </is>
      </c>
      <c r="G98" s="6" t="inlineStr">
        <is>
          <t>The SPQS44 refund (₹20) sent; finance marks it Failed ("Beneficiary account closed (test)"). The ₹20 is back in the wallet. Customer: "Failed — back in wallet" with the reason, and the email "Refund back in your wallet"</t>
        </is>
      </c>
      <c r="H98" s="6" t="inlineStr">
        <is>
          <t>PASS</t>
        </is>
      </c>
      <c r="I98" s="6" t="inlineStr">
        <is>
          <t>PASS</t>
        </is>
      </c>
    </row>
    <row r="99" ht="63" customHeight="1">
      <c r="A99" s="6" t="inlineStr">
        <is>
          <t>RES-0098</t>
        </is>
      </c>
      <c r="B99" s="6" t="inlineStr">
        <is>
          <t>TR-04</t>
        </is>
      </c>
      <c r="C99" s="6" t="inlineStr">
        <is>
          <t>docs/four-features-2026-10/TEST_RESULTS.md</t>
        </is>
      </c>
      <c r="D99" s="6" t="inlineStr">
        <is>
          <t>5. The owner's decisions (9 Oct 2026), tested on test</t>
        </is>
      </c>
      <c r="E99" s="6" t="inlineStr">
        <is>
          <t>05:25</t>
        </is>
      </c>
      <c r="F99" s="6" t="inlineStr">
        <is>
          <t>O-2 · cancel</t>
        </is>
      </c>
      <c r="G99" s="6" t="inlineStr">
        <is>
          <t>The returned ₹20 is offered again ("Back in your wallet: the transfer … failed") → sent → the customer presses Cancel → CANCELLED, back in the wallet. Database: three requests (PAID, FAILED, CANCELLED), each with its wallet debit and, for the last two, its return</t>
        </is>
      </c>
      <c r="H99" s="6" t="inlineStr">
        <is>
          <t>PASS</t>
        </is>
      </c>
      <c r="I99" s="6" t="inlineStr">
        <is>
          <t>PASS</t>
        </is>
      </c>
    </row>
    <row r="100" ht="75" customHeight="1">
      <c r="A100" s="6" t="inlineStr">
        <is>
          <t>RES-0099</t>
        </is>
      </c>
      <c r="B100" s="6" t="inlineStr">
        <is>
          <t>TR-04</t>
        </is>
      </c>
      <c r="C100" s="6" t="inlineStr">
        <is>
          <t>docs/four-features-2026-10/TEST_RESULTS.md</t>
        </is>
      </c>
      <c r="D100" s="6" t="inlineStr">
        <is>
          <t>5. The owner's decisions (9 Oct 2026), tested on test</t>
        </is>
      </c>
      <c r="E100" s="6" t="inlineStr">
        <is>
          <t>05:25</t>
        </is>
      </c>
      <c r="F100" s="6" t="inlineStr">
        <is>
          <t>O-3 · new customer (phone)</t>
        </is>
      </c>
      <c r="G100" s="6" t="inlineStr">
        <is>
          <t>sanjaymorankar+gk-new1 signs in for the first time → first-time setup shows "Referral code (optional)". NOPE999 → "This referral code is not valid." on the field, and the step stays. Typing clears the error. e2eanil1 → accepted as E2EANIL1 (GOKESARI, label "Requested by E2E Ref Requester Anil"), then the address step</t>
        </is>
      </c>
      <c r="H100" s="6" t="inlineStr">
        <is>
          <t>PASS</t>
        </is>
      </c>
      <c r="I100" s="6" t="inlineStr">
        <is>
          <t>PASS</t>
        </is>
      </c>
    </row>
    <row r="101" ht="39" customHeight="1">
      <c r="A101" s="6" t="inlineStr">
        <is>
          <t>RES-0100</t>
        </is>
      </c>
      <c r="B101" s="6" t="inlineStr">
        <is>
          <t>TR-04</t>
        </is>
      </c>
      <c r="C101" s="6" t="inlineStr">
        <is>
          <t>docs/four-features-2026-10/TEST_RESULTS.md</t>
        </is>
      </c>
      <c r="D101" s="6" t="inlineStr">
        <is>
          <t>5. The owner's decisions (9 Oct 2026), tested on test</t>
        </is>
      </c>
      <c r="E101" s="6" t="inlineStr">
        <is>
          <t>05:27</t>
        </is>
      </c>
      <c r="F101" s="6" t="inlineStr">
        <is>
          <t>O-3 · friend's code</t>
        </is>
      </c>
      <c r="G101" s="6" t="inlineStr">
        <is>
          <t>sanjaymorankar+gk-new2: GKZZZZZZ refused, then the existing customer's friend code gk2lqxbl → accepted as FRIEND (customerReferrals is on for test)</t>
        </is>
      </c>
      <c r="H101" s="6" t="inlineStr">
        <is>
          <t>PASS</t>
        </is>
      </c>
      <c r="I101" s="6" t="inlineStr">
        <is>
          <t>PASS</t>
        </is>
      </c>
    </row>
    <row r="102" ht="27" customHeight="1">
      <c r="A102" s="6" t="inlineStr">
        <is>
          <t>RES-0101</t>
        </is>
      </c>
      <c r="B102" s="6" t="inlineStr">
        <is>
          <t>TR-04</t>
        </is>
      </c>
      <c r="C102" s="6" t="inlineStr">
        <is>
          <t>docs/four-features-2026-10/TEST_RESULTS.md</t>
        </is>
      </c>
      <c r="D102" s="6" t="inlineStr">
        <is>
          <t>5. The owner's decisions (9 Oct 2026), tested on test</t>
        </is>
      </c>
      <c r="E102" s="6" t="inlineStr">
        <is>
          <t>05:26</t>
        </is>
      </c>
      <c r="F102" s="6" t="inlineStr">
        <is>
          <t>O-3 · operator</t>
        </is>
      </c>
      <c r="G102" s="6" t="inlineStr">
        <is>
          <t>Admin → Referral requests → "Customers who joined with a code": E2EANIL1, issued by GoKesari, 1</t>
        </is>
      </c>
      <c r="H102" s="6" t="inlineStr">
        <is>
          <t>PASS</t>
        </is>
      </c>
      <c r="I102" s="6" t="inlineStr">
        <is>
          <t>PASS</t>
        </is>
      </c>
    </row>
    <row r="103" ht="39" customHeight="1">
      <c r="A103" s="6" t="inlineStr">
        <is>
          <t>RES-0102</t>
        </is>
      </c>
      <c r="B103" s="6" t="inlineStr">
        <is>
          <t>TR-04</t>
        </is>
      </c>
      <c r="C103" s="6" t="inlineStr">
        <is>
          <t>docs/four-features-2026-10/TEST_RESULTS.md</t>
        </is>
      </c>
      <c r="D103" s="6" t="inlineStr">
        <is>
          <t>5. The owner's decisions (9 Oct 2026), tested on test</t>
        </is>
      </c>
      <c r="E103" s="6" t="inlineStr">
        <is>
          <t>05:28</t>
        </is>
      </c>
      <c r="F103" s="6" t="inlineStr">
        <is>
          <t>O-3 · existing customer</t>
        </is>
      </c>
      <c r="G103" s="6" t="inlineStr">
        <is>
          <t>The customer with orders is not asked (ask: false); giving a code is refused with "A referral code can only be given when you join, before your first order."</t>
        </is>
      </c>
      <c r="H103" s="6" t="inlineStr">
        <is>
          <t>PASS</t>
        </is>
      </c>
      <c r="I103" s="6" t="inlineStr">
        <is>
          <t>PASS</t>
        </is>
      </c>
    </row>
    <row r="104" ht="39" customHeight="1">
      <c r="A104" s="6" t="inlineStr">
        <is>
          <t>RES-0103</t>
        </is>
      </c>
      <c r="B104" s="6" t="inlineStr">
        <is>
          <t>TR-05</t>
        </is>
      </c>
      <c r="C104" s="6" t="inlineStr">
        <is>
          <t>docs/four-features-2026-10/TEST_RESULTS.md</t>
        </is>
      </c>
      <c r="D104" s="6" t="inlineStr">
        <is>
          <t>6. The owner's second-round decisions (9 Oct 2026), tested on test</t>
        </is>
      </c>
      <c r="E104" s="6" t="inlineStr">
        <is>
          <t>08:49</t>
        </is>
      </c>
      <c r="F104" s="6" t="inlineStr">
        <is>
          <t>O-6 · signed out (phone)</t>
        </is>
      </c>
      <c r="G104" s="6" t="inlineStr">
        <is>
          <t>Home page search box: "milk" → /search, 15 products listed with prices and shops, no sign-in. "Add to cart" → the sign-in page</t>
        </is>
      </c>
      <c r="H104" s="6" t="inlineStr">
        <is>
          <t>PASS</t>
        </is>
      </c>
      <c r="I104" s="6" t="inlineStr">
        <is>
          <t>PASS</t>
        </is>
      </c>
    </row>
    <row r="105" ht="63" customHeight="1">
      <c r="A105" s="6" t="inlineStr">
        <is>
          <t>RES-0104</t>
        </is>
      </c>
      <c r="B105" s="6" t="inlineStr">
        <is>
          <t>TR-05</t>
        </is>
      </c>
      <c r="C105" s="6" t="inlineStr">
        <is>
          <t>docs/four-features-2026-10/TEST_RESULTS.md</t>
        </is>
      </c>
      <c r="D105" s="6" t="inlineStr">
        <is>
          <t>6. The owner's second-round decisions (9 Oct 2026), tested on test</t>
        </is>
      </c>
      <c r="E105" s="6" t="inlineStr">
        <is>
          <t>09:23</t>
        </is>
      </c>
      <c r="F105" s="6" t="inlineStr">
        <is>
          <t>O-5 · new customer (phone)</t>
        </is>
      </c>
      <c r="G105" s="6" t="inlineStr">
        <is>
          <t>sanjaymorankar+gk-new3 signs in for the first time. First-time setup: "Referral code — Needed before your first order … No code? Leave it empty and ask us for one next." Name and mobile saved with no code; after the address step's "Fill in later", setup ends on My referral code</t>
        </is>
      </c>
      <c r="H105" s="6" t="inlineStr">
        <is>
          <t>PASS</t>
        </is>
      </c>
      <c r="I105" s="6" t="inlineStr">
        <is>
          <t>PASS</t>
        </is>
      </c>
    </row>
    <row r="106" ht="63" customHeight="1">
      <c r="A106" s="6" t="inlineStr">
        <is>
          <t>RES-0105</t>
        </is>
      </c>
      <c r="B106" s="6" t="inlineStr">
        <is>
          <t>TR-05</t>
        </is>
      </c>
      <c r="C106" s="6" t="inlineStr">
        <is>
          <t>docs/four-features-2026-10/TEST_RESULTS.md</t>
        </is>
      </c>
      <c r="D106" s="6" t="inlineStr">
        <is>
          <t>6. The owner's second-round decisions (9 Oct 2026), tested on test</t>
        </is>
      </c>
      <c r="E106" s="6" t="inlineStr">
        <is>
          <t>09:23</t>
        </is>
      </c>
      <c r="F106" s="6" t="inlineStr">
        <is>
          <t>O-5 · My referral code</t>
        </is>
      </c>
      <c r="G106" s="6" t="inlineStr">
        <is>
          <t>"A referral code is needed before your first order. Browse and search all you like in the meantime." Enter-a-code box, and "No referral code? Ask us for one" with the location captured (18.52043, 73.85674, Google Maps link) and name and contact number prefilled. API: needsCode: true</t>
        </is>
      </c>
      <c r="H106" s="6" t="inlineStr">
        <is>
          <t>PASS</t>
        </is>
      </c>
      <c r="I106" s="6" t="inlineStr">
        <is>
          <t>PASS</t>
        </is>
      </c>
    </row>
    <row r="107" ht="75" customHeight="1">
      <c r="A107" s="6" t="inlineStr">
        <is>
          <t>RES-0106</t>
        </is>
      </c>
      <c r="B107" s="6" t="inlineStr">
        <is>
          <t>TR-05</t>
        </is>
      </c>
      <c r="C107" s="6" t="inlineStr">
        <is>
          <t>docs/four-features-2026-10/TEST_RESULTS.md</t>
        </is>
      </c>
      <c r="D107" s="6" t="inlineStr">
        <is>
          <t>6. The owner's second-round decisions (9 Oct 2026), tested on test</t>
        </is>
      </c>
      <c r="E107" s="6" t="inlineStr">
        <is>
          <t>09:24</t>
        </is>
      </c>
      <c r="F107" s="6" t="inlineStr">
        <is>
          <t>O-5 · browse and cart</t>
        </is>
      </c>
      <c r="G107" s="6" t="inlineStr">
        <is>
          <t>The E2E bakery's page lists 45 products; bread added. Cart: "A referral code is needed for your first order — Enter the code you were given — or ask us for one — in My referral code." Checkout → 409 "Enter your referral code before your first order — or ask us for one in My referral code." (needsReferralCode: true)</t>
        </is>
      </c>
      <c r="H107" s="6" t="inlineStr">
        <is>
          <t>PASS</t>
        </is>
      </c>
      <c r="I107" s="6" t="inlineStr">
        <is>
          <t>PASS</t>
        </is>
      </c>
    </row>
    <row r="108" ht="75" customHeight="1">
      <c r="A108" s="6" t="inlineStr">
        <is>
          <t>RES-0107</t>
        </is>
      </c>
      <c r="B108" s="6" t="inlineStr">
        <is>
          <t>TR-05</t>
        </is>
      </c>
      <c r="C108" s="6" t="inlineStr">
        <is>
          <t>docs/four-features-2026-10/TEST_RESULTS.md</t>
        </is>
      </c>
      <c r="D108" s="6" t="inlineStr">
        <is>
          <t>6. The owner's second-round decisions (9 Oct 2026), tested on test</t>
        </is>
      </c>
      <c r="E108" s="6" t="inlineStr">
        <is>
          <t>09:25</t>
        </is>
      </c>
      <c r="F108" s="6" t="inlineStr">
        <is>
          <t>O-5 · ask for a code</t>
        </is>
      </c>
      <c r="G108" s="6" t="inlineStr">
        <is>
          <t>City Pune, PIN 411001 → request CRR-0423186D saved with the location. Asking again → "We already have your request (CRR-0423186D, …)". Found: the first POST came back as a 307 from the host's CDN and was repeated, so the customer saw that message instead of "Request received" (S-6; fixed in PR #110, re-checked below)</t>
        </is>
      </c>
      <c r="H108" s="6" t="inlineStr">
        <is>
          <t>PASS with S-6</t>
        </is>
      </c>
      <c r="I108" s="6" t="inlineStr">
        <is>
          <t>PASS</t>
        </is>
      </c>
    </row>
    <row r="109" ht="63" customHeight="1">
      <c r="A109" s="6" t="inlineStr">
        <is>
          <t>RES-0108</t>
        </is>
      </c>
      <c r="B109" s="6" t="inlineStr">
        <is>
          <t>TR-05</t>
        </is>
      </c>
      <c r="C109" s="6" t="inlineStr">
        <is>
          <t>docs/four-features-2026-10/TEST_RESULTS.md</t>
        </is>
      </c>
      <c r="D109" s="6" t="inlineStr">
        <is>
          <t>6. The owner's second-round decisions (9 Oct 2026), tested on test</t>
        </is>
      </c>
      <c r="E109" s="6" t="inlineStr">
        <is>
          <t>09:25</t>
        </is>
      </c>
      <c r="F109" s="6" t="inlineStr">
        <is>
          <t>O-5 · emails</t>
        </is>
      </c>
      <c r="G109" s="6" t="inlineStr">
        <is>
          <t>referrals@gokesari.com list (test copy to the +gk-referrals alias): "Customer referral code request CRR-0423186D — Anil Three, Pune 411001" with name, contact number, email, city, PIN, location shared, coordinates ±20 m, Google Maps link, time in IST. One email only</t>
        </is>
      </c>
      <c r="H109" s="6" t="inlineStr">
        <is>
          <t>PASS</t>
        </is>
      </c>
      <c r="I109" s="6" t="inlineStr">
        <is>
          <t>PASS</t>
        </is>
      </c>
    </row>
    <row r="110" ht="27" customHeight="1">
      <c r="A110" s="6" t="inlineStr">
        <is>
          <t>RES-0109</t>
        </is>
      </c>
      <c r="B110" s="6" t="inlineStr">
        <is>
          <t>TR-05</t>
        </is>
      </c>
      <c r="C110" s="6" t="inlineStr">
        <is>
          <t>docs/four-features-2026-10/TEST_RESULTS.md</t>
        </is>
      </c>
      <c r="D110" s="6" t="inlineStr">
        <is>
          <t>6. The owner's second-round decisions (9 Oct 2026), tested on test</t>
        </is>
      </c>
      <c r="E110" s="6" t="inlineStr">
        <is>
          <t>09:25</t>
        </is>
      </c>
      <c r="F110" s="6" t="inlineStr">
        <is>
          <t>O-5 · operations</t>
        </is>
      </c>
      <c r="G110" s="6" t="inlineStr">
        <is>
          <t>In-app "Customer asked for a referral code — Anil Three, Pune 411001 (CRR-0423186D)" for operations/admins</t>
        </is>
      </c>
      <c r="H110" s="6" t="inlineStr">
        <is>
          <t>PASS</t>
        </is>
      </c>
      <c r="I110" s="6" t="inlineStr">
        <is>
          <t>PASS</t>
        </is>
      </c>
    </row>
    <row r="111" ht="39" customHeight="1">
      <c r="A111" s="6" t="inlineStr">
        <is>
          <t>RES-0110</t>
        </is>
      </c>
      <c r="B111" s="6" t="inlineStr">
        <is>
          <t>TR-05</t>
        </is>
      </c>
      <c r="C111" s="6" t="inlineStr">
        <is>
          <t>docs/four-features-2026-10/TEST_RESULTS.md</t>
        </is>
      </c>
      <c r="D111" s="6" t="inlineStr">
        <is>
          <t>6. The owner's second-round decisions (9 Oct 2026), tested on test</t>
        </is>
      </c>
      <c r="E111" s="6" t="inlineStr">
        <is>
          <t>09:30</t>
        </is>
      </c>
      <c r="F111" s="6" t="inlineStr">
        <is>
          <t>O-5 · issue (desktop)</t>
        </is>
      </c>
      <c r="G111" s="6" t="inlineStr">
        <is>
          <t>Admin → Referral requests → "Customers asking for a code": the request with contact number, location and Maps link. "Issue a code" (generated) with a note → Code issued GKCMUWB6K</t>
        </is>
      </c>
      <c r="H111" s="6" t="inlineStr">
        <is>
          <t>PASS</t>
        </is>
      </c>
      <c r="I111" s="6" t="inlineStr">
        <is>
          <t>PASS</t>
        </is>
      </c>
    </row>
    <row r="112" ht="51" customHeight="1">
      <c r="A112" s="6" t="inlineStr">
        <is>
          <t>RES-0111</t>
        </is>
      </c>
      <c r="B112" s="6" t="inlineStr">
        <is>
          <t>TR-05</t>
        </is>
      </c>
      <c r="C112" s="6" t="inlineStr">
        <is>
          <t>docs/four-features-2026-10/TEST_RESULTS.md</t>
        </is>
      </c>
      <c r="D112" s="6" t="inlineStr">
        <is>
          <t>6. The owner's second-round decisions (9 Oct 2026), tested on test</t>
        </is>
      </c>
      <c r="E112" s="6" t="inlineStr">
        <is>
          <t>09:31</t>
        </is>
      </c>
      <c r="F112" s="6" t="inlineStr">
        <is>
          <t>O-5 · customer told</t>
        </is>
      </c>
      <c r="G112" s="6" t="inlineStr">
        <is>
          <t>Email "Your GoKesari referral code — Your referral code is GKCMUWB6K. Enter it in My referral code to start ordering (CRR-0423186D)." and the same in the app. My referral code lists the request with the code and Use this code</t>
        </is>
      </c>
      <c r="H112" s="6" t="inlineStr">
        <is>
          <t>PASS</t>
        </is>
      </c>
      <c r="I112" s="6" t="inlineStr">
        <is>
          <t>PASS</t>
        </is>
      </c>
    </row>
    <row r="113" ht="39" customHeight="1">
      <c r="A113" s="6" t="inlineStr">
        <is>
          <t>RES-0112</t>
        </is>
      </c>
      <c r="B113" s="6" t="inlineStr">
        <is>
          <t>TR-05</t>
        </is>
      </c>
      <c r="C113" s="6" t="inlineStr">
        <is>
          <t>docs/four-features-2026-10/TEST_RESULTS.md</t>
        </is>
      </c>
      <c r="D113" s="6" t="inlineStr">
        <is>
          <t>6. The owner's second-round decisions (9 Oct 2026), tested on test</t>
        </is>
      </c>
      <c r="E113" s="6" t="inlineStr">
        <is>
          <t>09:31</t>
        </is>
      </c>
      <c r="F113" s="6" t="inlineStr">
        <is>
          <t>O-5 · use the code</t>
        </is>
      </c>
      <c r="G113" s="6" t="inlineStr">
        <is>
          <t>"Use this code" → "You're all set — You joined with the referral code GKCMUWB6K (Customer Anil Three (CRR-0423186D))". needsCode: false; the cart warning is gone</t>
        </is>
      </c>
      <c r="H113" s="6" t="inlineStr">
        <is>
          <t>PASS</t>
        </is>
      </c>
      <c r="I113" s="6" t="inlineStr">
        <is>
          <t>PASS</t>
        </is>
      </c>
    </row>
    <row r="114" ht="39" customHeight="1">
      <c r="A114" s="6" t="inlineStr">
        <is>
          <t>RES-0113</t>
        </is>
      </c>
      <c r="B114" s="6" t="inlineStr">
        <is>
          <t>TR-05</t>
        </is>
      </c>
      <c r="C114" s="6" t="inlineStr">
        <is>
          <t>docs/four-features-2026-10/TEST_RESULTS.md</t>
        </is>
      </c>
      <c r="D114" s="6" t="inlineStr">
        <is>
          <t>6. The owner's second-round decisions (9 Oct 2026), tested on test</t>
        </is>
      </c>
      <c r="E114" s="6" t="inlineStr">
        <is>
          <t>09:49</t>
        </is>
      </c>
      <c r="F114" s="6" t="inlineStr">
        <is>
          <t>O-5 · first order</t>
        </is>
      </c>
      <c r="G114" s="6" t="inlineStr">
        <is>
          <t>Address added; ₹100 wallet top-up through the Cashfree sandbox (UPI); order DB-20261009-WXLQQN (₹40 bread + ₹20 delivery) placed from the wallet → CONFIRMED</t>
        </is>
      </c>
      <c r="H114" s="6" t="inlineStr">
        <is>
          <t>PASS</t>
        </is>
      </c>
      <c r="I114" s="6" t="inlineStr">
        <is>
          <t>PASS</t>
        </is>
      </c>
    </row>
    <row r="115" ht="39" customHeight="1">
      <c r="A115" s="6" t="inlineStr">
        <is>
          <t>RES-0114</t>
        </is>
      </c>
      <c r="B115" s="6" t="inlineStr">
        <is>
          <t>TR-05</t>
        </is>
      </c>
      <c r="C115" s="6" t="inlineStr">
        <is>
          <t>docs/four-features-2026-10/TEST_RESULTS.md</t>
        </is>
      </c>
      <c r="D115" s="6" t="inlineStr">
        <is>
          <t>6. The owner's second-round decisions (9 Oct 2026), tested on test</t>
        </is>
      </c>
      <c r="E115" s="6" t="inlineStr">
        <is>
          <t>09:51</t>
        </is>
      </c>
      <c r="F115" s="6" t="inlineStr">
        <is>
          <t>O-5 · not stopped</t>
        </is>
      </c>
      <c r="G115" s="6" t="inlineStr">
        <is>
          <t>Existing accounts: the customer with orders, a shop owner, a delivery partner, and the 9 Oct customer who joined with E2EANIL1 → needsCode: false</t>
        </is>
      </c>
      <c r="H115" s="6" t="inlineStr">
        <is>
          <t>PASS</t>
        </is>
      </c>
      <c r="I115" s="6" t="inlineStr">
        <is>
          <t>PASS</t>
        </is>
      </c>
    </row>
    <row r="116" ht="63" customHeight="1">
      <c r="A116" s="6" t="inlineStr">
        <is>
          <t>RES-0115</t>
        </is>
      </c>
      <c r="B116" s="6" t="inlineStr">
        <is>
          <t>TR-05</t>
        </is>
      </c>
      <c r="C116" s="6" t="inlineStr">
        <is>
          <t>docs/four-features-2026-10/TEST_RESULTS.md</t>
        </is>
      </c>
      <c r="D116" s="6" t="inlineStr">
        <is>
          <t>6. The owner's second-round decisions (9 Oct 2026), tested on test</t>
        </is>
      </c>
      <c r="E116" s="6" t="inlineStr">
        <is>
          <t>09:52</t>
        </is>
      </c>
      <c r="F116" s="6" t="inlineStr">
        <is>
          <t>O-5 · decline</t>
        </is>
      </c>
      <c r="G116" s="6" t="inlineStr">
        <is>
          <t>sanjaymorankar+gk-new2 asks (CRR-34C3012F, location not shared). Operations rejects "E2E: you already joined with a friend's code" → in-app "We could not give you a referral code this time: E2E: you already joined with a friend's code (CRR-34C3012F)."</t>
        </is>
      </c>
      <c r="H116" s="6" t="inlineStr">
        <is>
          <t>PASS</t>
        </is>
      </c>
      <c r="I116" s="6" t="inlineStr">
        <is>
          <t>PASS</t>
        </is>
      </c>
    </row>
    <row r="117" ht="27" customHeight="1">
      <c r="A117" s="6" t="inlineStr">
        <is>
          <t>RES-0116</t>
        </is>
      </c>
      <c r="B117" s="6" t="inlineStr">
        <is>
          <t>TR-05</t>
        </is>
      </c>
      <c r="C117" s="6" t="inlineStr">
        <is>
          <t>docs/four-features-2026-10/TEST_RESULTS.md</t>
        </is>
      </c>
      <c r="D117" s="6" t="inlineStr">
        <is>
          <t>6. The owner's second-round decisions (9 Oct 2026), tested on test</t>
        </is>
      </c>
      <c r="E117" s="6" t="inlineStr">
        <is>
          <t>09:32</t>
        </is>
      </c>
      <c r="F117" s="6" t="inlineStr">
        <is>
          <t>O-6 · menu (phone)</t>
        </is>
      </c>
      <c r="G117" s="6" t="inlineStr">
        <is>
          <t>The menu drawer shows My referral code and Invite friends for a customer, a shop owner and a delivery partner</t>
        </is>
      </c>
      <c r="H117" s="6" t="inlineStr">
        <is>
          <t>PASS</t>
        </is>
      </c>
      <c r="I117" s="6" t="inlineStr">
        <is>
          <t>PASS</t>
        </is>
      </c>
    </row>
    <row r="118" ht="51" customHeight="1">
      <c r="A118" s="6" t="inlineStr">
        <is>
          <t>RES-0117</t>
        </is>
      </c>
      <c r="B118" s="6" t="inlineStr">
        <is>
          <t>TR-05</t>
        </is>
      </c>
      <c r="C118" s="6" t="inlineStr">
        <is>
          <t>docs/four-features-2026-10/TEST_RESULTS.md</t>
        </is>
      </c>
      <c r="D118" s="6" t="inlineStr">
        <is>
          <t>6. The owner's second-round decisions (9 Oct 2026), tested on test</t>
        </is>
      </c>
      <c r="E118" s="6" t="inlineStr">
        <is>
          <t>09:33</t>
        </is>
      </c>
      <c r="F118" s="6" t="inlineStr">
        <is>
          <t>O-6 · invite codes</t>
        </is>
      </c>
      <c r="G118" s="6" t="inlineStr">
        <is>
          <t>/refer gives each their own code and link: customer GKNY7C2L, shop owner GKYJJAE6, delivery partner GKJ5KLH8, operator GKX46WXM (customerReferrals is on for test: ₹50 each after the friend's first delivered order)</t>
        </is>
      </c>
      <c r="H118" s="6" t="inlineStr">
        <is>
          <t>PASS</t>
        </is>
      </c>
      <c r="I118" s="6" t="inlineStr">
        <is>
          <t>PASS</t>
        </is>
      </c>
    </row>
    <row r="119" ht="27" customHeight="1">
      <c r="A119" s="6" t="inlineStr">
        <is>
          <t>RES-0118</t>
        </is>
      </c>
      <c r="B119" s="6" t="inlineStr">
        <is>
          <t>TR-05</t>
        </is>
      </c>
      <c r="C119" s="6" t="inlineStr">
        <is>
          <t>docs/four-features-2026-10/TEST_RESULTS.md</t>
        </is>
      </c>
      <c r="D119" s="6" t="inlineStr">
        <is>
          <t>6. The owner's second-round decisions (9 Oct 2026), tested on test</t>
        </is>
      </c>
      <c r="E119" s="6" t="inlineStr">
        <is>
          <t>09:38</t>
        </is>
      </c>
      <c r="F119" s="6" t="inlineStr">
        <is>
          <t>O-4 · baseline</t>
        </is>
      </c>
      <c r="G119" s="6" t="inlineStr">
        <is>
          <t>The existing customer (phone): the E2E bakery "Delivers to you · 1.1 km"; bread added to the cart; cart normal</t>
        </is>
      </c>
      <c r="H119" s="6" t="inlineStr">
        <is>
          <t>PASS</t>
        </is>
      </c>
      <c r="I119" s="6" t="inlineStr">
        <is>
          <t>PASS</t>
        </is>
      </c>
    </row>
    <row r="120" ht="87" customHeight="1">
      <c r="A120" s="6" t="inlineStr">
        <is>
          <t>RES-0119</t>
        </is>
      </c>
      <c r="B120" s="6" t="inlineStr">
        <is>
          <t>TR-05</t>
        </is>
      </c>
      <c r="C120" s="6" t="inlineStr">
        <is>
          <t>docs/four-features-2026-10/TEST_RESULTS.md</t>
        </is>
      </c>
      <c r="D120" s="6" t="inlineStr">
        <is>
          <t>6. The owner's second-round decisions (9 Oct 2026), tested on test</t>
        </is>
      </c>
      <c r="E120" s="6" t="inlineStr">
        <is>
          <t>09:41</t>
        </is>
      </c>
      <c r="F120" s="6" t="inlineStr">
        <is>
          <t>O-4 · blocked</t>
        </is>
      </c>
      <c r="G120" s="6" t="inlineStr">
        <is>
          <t>Grace 0 → the shop re-uploads its FSSAI → operations rejects it ("E2E O-4: licence copy unreadable") → grace back to 15. Cart: "E2E Four Features Bakery is not taking new orders right now. Try again later or remove its items." with "Remove these items". Found: the shop list showed the bakery as "Pickup · outside its delivery area · 1.1 km", as it does any paused shop (S-7; fixed in PR #110, re-checked below)</t>
        </is>
      </c>
      <c r="H120" s="6" t="inlineStr">
        <is>
          <t>PASS with S-7</t>
        </is>
      </c>
      <c r="I120" s="6" t="inlineStr">
        <is>
          <t>PASS</t>
        </is>
      </c>
    </row>
    <row r="121" ht="39" customHeight="1">
      <c r="A121" s="6" t="inlineStr">
        <is>
          <t>RES-0120</t>
        </is>
      </c>
      <c r="B121" s="6" t="inlineStr">
        <is>
          <t>TR-05</t>
        </is>
      </c>
      <c r="C121" s="6" t="inlineStr">
        <is>
          <t>docs/four-features-2026-10/TEST_RESULTS.md</t>
        </is>
      </c>
      <c r="D121" s="6" t="inlineStr">
        <is>
          <t>6. The owner's second-round decisions (9 Oct 2026), tested on test</t>
        </is>
      </c>
      <c r="E121" s="6" t="inlineStr">
        <is>
          <t>09:47</t>
        </is>
      </c>
      <c r="F121" s="6" t="inlineStr">
        <is>
          <t>O-4 · reopened</t>
        </is>
      </c>
      <c r="G121" s="6" t="inlineStr">
        <is>
          <t>The shop uploads the FSSAI again (under review) → straight away "Delivers to you · 1.1 km" and a normal cart. Operations then approves it</t>
        </is>
      </c>
      <c r="H121" s="6" t="inlineStr">
        <is>
          <t>PASS</t>
        </is>
      </c>
      <c r="I121" s="6" t="inlineStr">
        <is>
          <t>PASS</t>
        </is>
      </c>
    </row>
    <row r="122" ht="75" customHeight="1">
      <c r="A122" s="6" t="inlineStr">
        <is>
          <t>RES-0121</t>
        </is>
      </c>
      <c r="B122" s="6" t="inlineStr">
        <is>
          <t>TR-05</t>
        </is>
      </c>
      <c r="C122" s="6" t="inlineStr">
        <is>
          <t>docs/four-features-2026-10/TEST_RESULTS.md</t>
        </is>
      </c>
      <c r="D122" s="6" t="inlineStr">
        <is>
          <t>6. The owner's second-round decisions (9 Oct 2026), tested on test</t>
        </is>
      </c>
      <c r="E122" s="6" t="inlineStr">
        <is>
          <t>09:56</t>
        </is>
      </c>
      <c r="F122" s="6" t="inlineStr">
        <is>
          <t>Regression · rider delivery</t>
        </is>
      </c>
      <c r="G122" s="6" t="inlineStr">
        <is>
          <t>Order DB-20261009-WXLQQN: shop accepts, picks, chooses GoKesari partner → offer to the rider → accepted → "Pickup code for the rider: 3393" → PICKED_UP → start → customer emailed "5549 is your delivery code for order DB-20261009-WXLQQN" → door photo + 5549 → DELIVERED. The customer's order shows "delivered", the tax invoice and the delivery photo</t>
        </is>
      </c>
      <c r="H122" s="6" t="inlineStr">
        <is>
          <t>PASS</t>
        </is>
      </c>
      <c r="I122" s="6" t="inlineStr">
        <is>
          <t>PASS</t>
        </is>
      </c>
    </row>
    <row r="123" ht="63" customHeight="1">
      <c r="A123" s="6" t="inlineStr">
        <is>
          <t>RES-0122</t>
        </is>
      </c>
      <c r="B123" s="6" t="inlineStr">
        <is>
          <t>TR-05</t>
        </is>
      </c>
      <c r="C123" s="6" t="inlineStr">
        <is>
          <t>docs/four-features-2026-10/TEST_RESULTS.md</t>
        </is>
      </c>
      <c r="D123" s="6" t="inlineStr">
        <is>
          <t>6. The owner's second-round decisions (9 Oct 2026), tested on test</t>
        </is>
      </c>
      <c r="E123" s="6" t="inlineStr">
        <is>
          <t>10:34</t>
        </is>
      </c>
      <c r="F123" s="6" t="inlineStr">
        <is>
          <t>S-6 re-check</t>
        </is>
      </c>
      <c r="G123" s="6" t="inlineStr">
        <is>
          <t>PR #110 merged at 10:23 (fe94abf), live by 10:33. sanjaymorankar+gk-new1 sends the same request (Pune 411007, location shared) twice, 31 s apart → 201 CRR-89C48687 both times; one request; one email to the referrals list. Operations then declined it (test request)</t>
        </is>
      </c>
      <c r="H123" s="6" t="inlineStr">
        <is>
          <t>PASS</t>
        </is>
      </c>
      <c r="I123" s="6" t="inlineStr">
        <is>
          <t>PASS</t>
        </is>
      </c>
    </row>
    <row r="124" ht="63" customHeight="1">
      <c r="A124" s="6" t="inlineStr">
        <is>
          <t>RES-0123</t>
        </is>
      </c>
      <c r="B124" s="6" t="inlineStr">
        <is>
          <t>TR-05</t>
        </is>
      </c>
      <c r="C124" s="6" t="inlineStr">
        <is>
          <t>docs/four-features-2026-10/TEST_RESULTS.md</t>
        </is>
      </c>
      <c r="D124" s="6" t="inlineStr">
        <is>
          <t>6. The owner's second-round decisions (9 Oct 2026), tested on test</t>
        </is>
      </c>
      <c r="E124" s="6" t="inlineStr">
        <is>
          <t>10:37</t>
        </is>
      </c>
      <c r="F124" s="6" t="inlineStr">
        <is>
          <t>S-7 re-check</t>
        </is>
      </c>
      <c r="G124" s="6" t="inlineStr">
        <is>
          <t>Bakery blocked again (grace 0, FSSAI re-uploaded and rejected, grace back to 15). Shop list: "E2E Four Features Bakery … Not taking new orders right now · 1.1 km"; cart: "… is not taking new orders right now". Upload + approval → "Delivers to you · 1.1 km"</t>
        </is>
      </c>
      <c r="H124" s="6" t="inlineStr">
        <is>
          <t>PASS</t>
        </is>
      </c>
      <c r="I124" s="6" t="inlineStr">
        <is>
          <t>PASS</t>
        </is>
      </c>
    </row>
    <row r="125" ht="147" customHeight="1">
      <c r="A125" s="6" t="inlineStr">
        <is>
          <t>RES-0124</t>
        </is>
      </c>
      <c r="B125" s="6" t="inlineStr">
        <is>
          <t>TR-05</t>
        </is>
      </c>
      <c r="C125" s="6" t="inlineStr">
        <is>
          <t>docs/four-features-2026-10/TEST_RESULTS.md</t>
        </is>
      </c>
      <c r="D125" s="6" t="inlineStr">
        <is>
          <t>6. The owner's second-round decisions (9 Oct 2026), tested on test</t>
        </is>
      </c>
      <c r="E125" s="6" t="inlineStr">
        <is>
          <t>11:19</t>
        </is>
      </c>
      <c r="F125" s="6" t="inlineStr">
        <is>
          <t>O-8 legal wording</t>
        </is>
      </c>
      <c r="G125" s="6" t="inlineStr">
        <is>
          <t>PR #111 merged at 11:17 (76dc48f). Signed out, test.gokesari.com (bankRefunds on): Wallet Terms "It cannot be withdrawn as cash. Money refunded to your wallet (not promotional credit, not top-ups) can be sent to your own verified bank account within 30 days of the refund; see the Refund Policy." The old "transferred to a bank account, UPI ID…" bullet is gone. Refund Policy "Within 30 days of a refund you can ask for it to be sent to your verified bank account instead (My Wallet). It leaves your wallet straight away and reaches your bank within 5 working days; if the transfer fails, it returns to your wallet." gokesari.com still shows the old bullet (not deployed; rule off)</t>
        </is>
      </c>
      <c r="H125" s="6" t="inlineStr">
        <is>
          <t>PASS</t>
        </is>
      </c>
      <c r="I125" s="6" t="inlineStr">
        <is>
          <t>PASS</t>
        </is>
      </c>
    </row>
    <row r="126" ht="27" customHeight="1">
      <c r="A126" s="6" t="inlineStr">
        <is>
          <t>RES-0125</t>
        </is>
      </c>
      <c r="B126" s="6" t="inlineStr">
        <is>
          <t>TR-06</t>
        </is>
      </c>
      <c r="C126" s="6" t="inlineStr">
        <is>
          <t>docs/four-features-2026-10/TEST_RESULTS.md</t>
        </is>
      </c>
      <c r="D126" s="6" t="inlineStr">
        <is>
          <t>7. Bank check with Cashfree (O-7), tested on test</t>
        </is>
      </c>
      <c r="E126" s="6" t="inlineStr">
        <is>
          <t>12:48</t>
        </is>
      </c>
      <c r="F126" s="6" t="inlineStr">
        <is>
          <t>Deploy</t>
        </is>
      </c>
      <c r="G126" s="6" t="inlineStr">
        <is>
          <t>PR #115 merged (34f4983). "Test database" workflow: backup → migration 0073 → bankAccountCheck on → verify, green</t>
        </is>
      </c>
      <c r="H126" s="6" t="inlineStr">
        <is>
          <t>PASS</t>
        </is>
      </c>
      <c r="I126" s="6" t="inlineStr">
        <is>
          <t>PASS</t>
        </is>
      </c>
    </row>
    <row r="127" ht="75" customHeight="1">
      <c r="A127" s="6" t="inlineStr">
        <is>
          <t>RES-0126</t>
        </is>
      </c>
      <c r="B127" s="6" t="inlineStr">
        <is>
          <t>TR-06</t>
        </is>
      </c>
      <c r="C127" s="6" t="inlineStr">
        <is>
          <t>docs/four-features-2026-10/TEST_RESULTS.md</t>
        </is>
      </c>
      <c r="D127" s="6" t="inlineStr">
        <is>
          <t>7. Bank check with Cashfree (O-7), tested on test</t>
        </is>
      </c>
      <c r="E127" s="6" t="inlineStr">
        <is>
          <t>12:59</t>
        </is>
      </c>
      <c r="F127" s="6" t="inlineStr">
        <is>
          <t>O7.1 · finance card</t>
        </is>
      </c>
      <c r="G127" s="6" t="inlineStr">
        <is>
          <t>Admin → Bank accounts: "Bank check with Cashfree (no ₹1 payment)" · Rule on · Keys not found. The website's environment has none of the expected names (CASHFREE_VERIFICATION_CLIENT_ID / _CLIENT_SECRET, _APP_ID / _SECRET_KEY), so saving a bank account records "not configured" and keeps the ₹1 check, as designed</t>
        </is>
      </c>
      <c r="H127" s="6" t="inlineStr">
        <is>
          <t>BLOCKED (keys)</t>
        </is>
      </c>
      <c r="I127" s="6" t="inlineStr">
        <is>
          <t>BLOCKED</t>
        </is>
      </c>
    </row>
    <row r="128" ht="15" customHeight="1">
      <c r="A128" s="6" t="inlineStr">
        <is>
          <t>RES-0127</t>
        </is>
      </c>
      <c r="B128" s="6" t="inlineStr">
        <is>
          <t>TR-07</t>
        </is>
      </c>
      <c r="C128" s="6" t="inlineStr">
        <is>
          <t>docs/tile-board-2026-10/TEST_RESULTS.md</t>
        </is>
      </c>
      <c r="D128" s="6" t="inlineStr">
        <is>
          <t>1. Summary</t>
        </is>
      </c>
      <c r="E128" s="6" t="inlineStr"/>
      <c r="F128" s="6" t="inlineStr"/>
      <c r="G128" s="6" t="inlineStr">
        <is>
          <t>npm run typecheck</t>
        </is>
      </c>
      <c r="H128" s="6" t="inlineStr">
        <is>
          <t>Pass</t>
        </is>
      </c>
      <c r="I128" s="6" t="inlineStr">
        <is>
          <t>PASS</t>
        </is>
      </c>
    </row>
    <row r="129" ht="27" customHeight="1">
      <c r="A129" s="6" t="inlineStr">
        <is>
          <t>RES-0128</t>
        </is>
      </c>
      <c r="B129" s="6" t="inlineStr">
        <is>
          <t>TR-07</t>
        </is>
      </c>
      <c r="C129" s="6" t="inlineStr">
        <is>
          <t>docs/tile-board-2026-10/TEST_RESULTS.md</t>
        </is>
      </c>
      <c r="D129" s="6" t="inlineStr">
        <is>
          <t>1. Summary</t>
        </is>
      </c>
      <c r="E129" s="6" t="inlineStr"/>
      <c r="F129" s="6" t="inlineStr"/>
      <c r="G129" s="6" t="inlineStr">
        <is>
          <t>npx eslint src tests --ext .ts,.tsx</t>
        </is>
      </c>
      <c r="H129" s="6" t="inlineStr">
        <is>
          <t>Pass — 0 errors; 4 warnings, all pre-existing on staging (none in new files)</t>
        </is>
      </c>
      <c r="I129" s="6" t="inlineStr">
        <is>
          <t>PASS</t>
        </is>
      </c>
    </row>
    <row r="130" ht="15" customHeight="1">
      <c r="A130" s="6" t="inlineStr">
        <is>
          <t>RES-0129</t>
        </is>
      </c>
      <c r="B130" s="6" t="inlineStr">
        <is>
          <t>TR-07</t>
        </is>
      </c>
      <c r="C130" s="6" t="inlineStr">
        <is>
          <t>docs/tile-board-2026-10/TEST_RESULTS.md</t>
        </is>
      </c>
      <c r="D130" s="6" t="inlineStr">
        <is>
          <t>1. Summary</t>
        </is>
      </c>
      <c r="E130" s="6" t="inlineStr"/>
      <c r="F130" s="6" t="inlineStr"/>
      <c r="G130" s="6" t="inlineStr">
        <is>
          <t>npm test (Vitest, real PostgreSQL 16)</t>
        </is>
      </c>
      <c r="H130" s="6" t="inlineStr">
        <is>
          <t>Pass — 125 files, 1,610 tests (29 new in tests/unit/tile-board.test.ts)</t>
        </is>
      </c>
      <c r="I130" s="6" t="inlineStr">
        <is>
          <t>PASS</t>
        </is>
      </c>
    </row>
    <row r="131" ht="15" customHeight="1">
      <c r="A131" s="6" t="inlineStr">
        <is>
          <t>RES-0130</t>
        </is>
      </c>
      <c r="B131" s="6" t="inlineStr">
        <is>
          <t>TR-07</t>
        </is>
      </c>
      <c r="C131" s="6" t="inlineStr">
        <is>
          <t>docs/tile-board-2026-10/TEST_RESULTS.md</t>
        </is>
      </c>
      <c r="D131" s="6" t="inlineStr">
        <is>
          <t>1. Summary</t>
        </is>
      </c>
      <c r="E131" s="6" t="inlineStr"/>
      <c r="F131" s="6" t="inlineStr"/>
      <c r="G131" s="6" t="inlineStr">
        <is>
          <t>npm run build</t>
        </is>
      </c>
      <c r="H131" s="6" t="inlineStr">
        <is>
          <t>Pass</t>
        </is>
      </c>
      <c r="I131" s="6" t="inlineStr">
        <is>
          <t>PASS</t>
        </is>
      </c>
    </row>
    <row r="132" ht="27" customHeight="1">
      <c r="A132" s="6" t="inlineStr">
        <is>
          <t>RES-0131</t>
        </is>
      </c>
      <c r="B132" s="6" t="inlineStr">
        <is>
          <t>TR-07</t>
        </is>
      </c>
      <c r="C132" s="6" t="inlineStr">
        <is>
          <t>docs/tile-board-2026-10/TEST_RESULTS.md</t>
        </is>
      </c>
      <c r="D132" s="6" t="inlineStr">
        <is>
          <t>1. Summary</t>
        </is>
      </c>
      <c r="E132" s="6" t="inlineStr"/>
      <c r="F132" s="6" t="inlineStr"/>
      <c r="G132" s="6" t="inlineStr">
        <is>
          <t>Board fits the first screen, no horizontal scroll — 4 roles × 2 sizes × 3 languages (local)</t>
        </is>
      </c>
      <c r="H132" s="6" t="inlineStr">
        <is>
          <t>Pass, 24/24 (plus signed-out, new customer, empty shop and pending shop: 24/24)</t>
        </is>
      </c>
      <c r="I132" s="6" t="inlineStr">
        <is>
          <t>PASS</t>
        </is>
      </c>
    </row>
    <row r="133" ht="27" customHeight="1">
      <c r="A133" s="6" t="inlineStr">
        <is>
          <t>RES-0132</t>
        </is>
      </c>
      <c r="B133" s="6" t="inlineStr">
        <is>
          <t>TR-07</t>
        </is>
      </c>
      <c r="C133" s="6" t="inlineStr">
        <is>
          <t>docs/tile-board-2026-10/TEST_RESULTS.md</t>
        </is>
      </c>
      <c r="D133" s="6" t="inlineStr">
        <is>
          <t>1. Summary</t>
        </is>
      </c>
      <c r="E133" s="6" t="inlineStr"/>
      <c r="F133" s="6" t="inlineStr"/>
      <c r="G133" s="6" t="inlineStr">
        <is>
          <t>Every tile and chip opens a real page, HTTP 200, no redirect home (local)</t>
        </is>
      </c>
      <c r="H133" s="6" t="inlineStr">
        <is>
          <t>Pass — customer 28/28, shop owner 32/32, admin 37/37, operator 21/21, signed-out 14/14 links</t>
        </is>
      </c>
      <c r="I133" s="6" t="inlineStr">
        <is>
          <t>PASS</t>
        </is>
      </c>
    </row>
    <row r="134" ht="27" customHeight="1">
      <c r="A134" s="6" t="inlineStr">
        <is>
          <t>RES-0133</t>
        </is>
      </c>
      <c r="B134" s="6" t="inlineStr">
        <is>
          <t>TR-07</t>
        </is>
      </c>
      <c r="C134" s="6" t="inlineStr">
        <is>
          <t>docs/tile-board-2026-10/TEST_RESULTS.md</t>
        </is>
      </c>
      <c r="D134" s="6" t="inlineStr">
        <is>
          <t>1. Summary</t>
        </is>
      </c>
      <c r="E134" s="6" t="inlineStr"/>
      <c r="F134" s="6" t="inlineStr"/>
      <c r="G134" s="6" t="inlineStr">
        <is>
          <t>Language switch (click, cookie, server render, survives reload)</t>
        </is>
      </c>
      <c r="H134" s="6" t="inlineStr">
        <is>
          <t>Pass</t>
        </is>
      </c>
      <c r="I134" s="6" t="inlineStr">
        <is>
          <t>PASS</t>
        </is>
      </c>
    </row>
    <row r="135" ht="15" customHeight="1">
      <c r="A135" s="6" t="inlineStr">
        <is>
          <t>RES-0134</t>
        </is>
      </c>
      <c r="B135" s="6" t="inlineStr">
        <is>
          <t>TR-07</t>
        </is>
      </c>
      <c r="C135" s="6" t="inlineStr">
        <is>
          <t>docs/tile-board-2026-10/TEST_RESULTS.md</t>
        </is>
      </c>
      <c r="D135" s="6" t="inlineStr">
        <is>
          <t>1. Summary</t>
        </is>
      </c>
      <c r="E135" s="6" t="inlineStr"/>
      <c r="F135" s="6" t="inlineStr"/>
      <c r="G135" s="6" t="inlineStr">
        <is>
          <t>Other pages keep the site header and layout</t>
        </is>
      </c>
      <c r="H135" s="6" t="inlineStr">
        <is>
          <t>Pass</t>
        </is>
      </c>
      <c r="I135" s="6" t="inlineStr">
        <is>
          <t>PASS</t>
        </is>
      </c>
    </row>
    <row r="136" ht="27" customHeight="1">
      <c r="A136" s="6" t="inlineStr">
        <is>
          <t>RES-0135</t>
        </is>
      </c>
      <c r="B136" s="6" t="inlineStr">
        <is>
          <t>TR-07</t>
        </is>
      </c>
      <c r="C136" s="6" t="inlineStr">
        <is>
          <t>docs/tile-board-2026-10/TEST_RESULTS.md</t>
        </is>
      </c>
      <c r="D136" s="6" t="inlineStr">
        <is>
          <t>1. Summary</t>
        </is>
      </c>
      <c r="E136" s="6" t="inlineStr"/>
      <c r="F136" s="6" t="inlineStr"/>
      <c r="G136" s="6" t="inlineStr">
        <is>
          <t>test.gokesari.com (PR #112 merged to staging as 6d60dbc; board served ~2 min later)</t>
        </is>
      </c>
      <c r="H136" s="6" t="inlineStr">
        <is>
          <t>Live. Signed-out board verified on the site; signed-in roles verified locally only — see §5</t>
        </is>
      </c>
      <c r="I136" s="6" t="inlineStr">
        <is>
          <t>OK (recorded)</t>
        </is>
      </c>
    </row>
    <row r="137" ht="27" customHeight="1">
      <c r="A137" s="6" t="inlineStr">
        <is>
          <t>RES-0136</t>
        </is>
      </c>
      <c r="B137" s="6" t="inlineStr">
        <is>
          <t>TR-07</t>
        </is>
      </c>
      <c r="C137" s="6" t="inlineStr">
        <is>
          <t>docs/tile-board-2026-10/TEST_RESULTS.md</t>
        </is>
      </c>
      <c r="D137" s="6" t="inlineStr">
        <is>
          <t>3.3 Interaction</t>
        </is>
      </c>
      <c r="E137" s="6" t="inlineStr"/>
      <c r="F137" s="6" t="inlineStr"/>
      <c r="G137" s="6" t="inlineStr">
        <is>
          <t>Tap मरा → board re-renders in Marathi (lang="mr-IN"), cookie gk_lang=mr, still Marathi after reload; EN switches back</t>
        </is>
      </c>
      <c r="H137" s="6" t="inlineStr">
        <is>
          <t>Pass (phone and desktop, dev and production build)</t>
        </is>
      </c>
      <c r="I137" s="6" t="inlineStr">
        <is>
          <t>PASS</t>
        </is>
      </c>
    </row>
    <row r="138" ht="15" customHeight="1">
      <c r="A138" s="6" t="inlineStr">
        <is>
          <t>RES-0137</t>
        </is>
      </c>
      <c r="B138" s="6" t="inlineStr">
        <is>
          <t>TR-07</t>
        </is>
      </c>
      <c r="C138" s="6" t="inlineStr">
        <is>
          <t>docs/tile-board-2026-10/TEST_RESULTS.md</t>
        </is>
      </c>
      <c r="D138" s="6" t="inlineStr">
        <is>
          <t>3.3 Interaction</t>
        </is>
      </c>
      <c r="E138" s="6" t="inlineStr"/>
      <c r="F138" s="6" t="inlineStr"/>
      <c r="G138" s="6" t="inlineStr">
        <is>
          <t>Deliver-to opens the location chooser</t>
        </is>
      </c>
      <c r="H138" s="6" t="inlineStr">
        <is>
          <t>Pass</t>
        </is>
      </c>
      <c r="I138" s="6" t="inlineStr">
        <is>
          <t>PASS</t>
        </is>
      </c>
    </row>
    <row r="139" ht="27" customHeight="1">
      <c r="A139" s="6" t="inlineStr">
        <is>
          <t>RES-0138</t>
        </is>
      </c>
      <c r="B139" s="6" t="inlineStr">
        <is>
          <t>TR-07</t>
        </is>
      </c>
      <c r="C139" s="6" t="inlineStr">
        <is>
          <t>docs/tile-board-2026-10/TEST_RESULTS.md</t>
        </is>
      </c>
      <c r="D139" s="6" t="inlineStr">
        <is>
          <t>3.3 Interaction</t>
        </is>
      </c>
      <c r="E139" s="6" t="inlineStr"/>
      <c r="F139" s="6" t="inlineStr"/>
      <c r="G139" s="6" t="inlineStr">
        <is>
          <t>Account menu: name, profile links, sign out (role switcher shows for users with several roles)</t>
        </is>
      </c>
      <c r="H139" s="6" t="inlineStr">
        <is>
          <t>Pass</t>
        </is>
      </c>
      <c r="I139" s="6" t="inlineStr">
        <is>
          <t>PASS</t>
        </is>
      </c>
    </row>
    <row r="140" ht="27" customHeight="1">
      <c r="A140" s="6" t="inlineStr">
        <is>
          <t>RES-0139</t>
        </is>
      </c>
      <c r="B140" s="6" t="inlineStr">
        <is>
          <t>TR-07</t>
        </is>
      </c>
      <c r="C140" s="6" t="inlineStr">
        <is>
          <t>docs/tile-board-2026-10/TEST_RESULTS.md</t>
        </is>
      </c>
      <c r="D140" s="6" t="inlineStr">
        <is>
          <t>3.3 Interaction</t>
        </is>
      </c>
      <c r="E140" s="6" t="inlineStr"/>
      <c r="F140" s="6" t="inlineStr"/>
      <c r="G140" s="6" t="inlineStr">
        <is>
          <t>Bell → /profile#notifications, unread count from the database</t>
        </is>
      </c>
      <c r="H140" s="6" t="inlineStr">
        <is>
          <t>Pass</t>
        </is>
      </c>
      <c r="I140" s="6" t="inlineStr">
        <is>
          <t>PASS</t>
        </is>
      </c>
    </row>
    <row r="141" ht="15" customHeight="1">
      <c r="A141" s="6" t="inlineStr">
        <is>
          <t>RES-0140</t>
        </is>
      </c>
      <c r="B141" s="6" t="inlineStr">
        <is>
          <t>TR-07</t>
        </is>
      </c>
      <c r="C141" s="6" t="inlineStr">
        <is>
          <t>docs/tile-board-2026-10/TEST_RESULTS.md</t>
        </is>
      </c>
      <c r="D141" s="6" t="inlineStr">
        <is>
          <t>3.3 Interaction</t>
        </is>
      </c>
      <c r="E141" s="6" t="inlineStr"/>
      <c r="F141" s="6" t="inlineStr"/>
      <c r="G141" s="6" t="inlineStr">
        <is>
          <t>Keyboard focus ring visible (2px solid)</t>
        </is>
      </c>
      <c r="H141" s="6" t="inlineStr">
        <is>
          <t>Pass</t>
        </is>
      </c>
      <c r="I141" s="6" t="inlineStr">
        <is>
          <t>PASS</t>
        </is>
      </c>
    </row>
    <row r="142" ht="27" customHeight="1">
      <c r="A142" s="6" t="inlineStr">
        <is>
          <t>RES-0141</t>
        </is>
      </c>
      <c r="B142" s="6" t="inlineStr">
        <is>
          <t>TR-07</t>
        </is>
      </c>
      <c r="C142" s="6" t="inlineStr">
        <is>
          <t>docs/tile-board-2026-10/TEST_RESULTS.md</t>
        </is>
      </c>
      <c r="D142" s="6" t="inlineStr">
        <is>
          <t>3.3 Interaction</t>
        </is>
      </c>
      <c r="E142" s="6" t="inlineStr"/>
      <c r="F142" s="6" t="inlineStr"/>
      <c r="G142" s="6" t="inlineStr">
        <is>
          <t>Reduced motion: existing global rule applies (no new animation added)</t>
        </is>
      </c>
      <c r="H142" s="6" t="inlineStr">
        <is>
          <t>Pass</t>
        </is>
      </c>
      <c r="I142" s="6" t="inlineStr">
        <is>
          <t>PASS</t>
        </is>
      </c>
    </row>
    <row r="143" ht="39" customHeight="1">
      <c r="A143" s="6" t="inlineStr">
        <is>
          <t>RES-0142</t>
        </is>
      </c>
      <c r="B143" s="6" t="inlineStr">
        <is>
          <t>TR-07</t>
        </is>
      </c>
      <c r="C143" s="6" t="inlineStr">
        <is>
          <t>docs/tile-board-2026-10/TEST_RESULTS.md</t>
        </is>
      </c>
      <c r="D143" s="6" t="inlineStr">
        <is>
          <t>3.3 Interaction</t>
        </is>
      </c>
      <c r="E143" s="6" t="inlineStr"/>
      <c r="F143" s="6" t="inlineStr"/>
      <c r="G143" s="6" t="inlineStr">
        <is>
          <t>Site header hidden only while a board is on the page; /shops, /orders, /wallet, /profile, /admin/orders, /admin/dashboard, /shop without a shop all unchanged</t>
        </is>
      </c>
      <c r="H143" s="6" t="inlineStr">
        <is>
          <t>Pass</t>
        </is>
      </c>
      <c r="I143" s="6" t="inlineStr">
        <is>
          <t>PASS</t>
        </is>
      </c>
    </row>
    <row r="144" ht="27" customHeight="1">
      <c r="A144" s="6" t="inlineStr">
        <is>
          <t>RES-0143</t>
        </is>
      </c>
      <c r="B144" s="6" t="inlineStr">
        <is>
          <t>TR-07</t>
        </is>
      </c>
      <c r="C144" s="6" t="inlineStr">
        <is>
          <t>docs/tile-board-2026-10/TEST_RESULTS.md</t>
        </is>
      </c>
      <c r="D144" s="6" t="inlineStr">
        <is>
          <t>5. test.gokesari.com</t>
        </is>
      </c>
      <c r="E144" s="6" t="inlineStr"/>
      <c r="F144" s="6" t="inlineStr">
        <is>
          <t>Fit, 360×800 and 1366×768 × EN/HI/MR (6 runs)</t>
        </is>
      </c>
      <c r="G144" s="6" t="inlineStr"/>
      <c r="H144" s="6" t="inlineStr">
        <is>
          <t>Pass — 800/800 and 752/768, no horizontal scroll, site header hidden on /</t>
        </is>
      </c>
      <c r="I144" s="6" t="inlineStr">
        <is>
          <t>PASS</t>
        </is>
      </c>
    </row>
    <row r="145" ht="15" customHeight="1">
      <c r="A145" s="6" t="inlineStr">
        <is>
          <t>RES-0144</t>
        </is>
      </c>
      <c r="B145" s="6" t="inlineStr">
        <is>
          <t>TR-07</t>
        </is>
      </c>
      <c r="C145" s="6" t="inlineStr">
        <is>
          <t>docs/tile-board-2026-10/TEST_RESULTS.md</t>
        </is>
      </c>
      <c r="D145" s="6" t="inlineStr">
        <is>
          <t>5. test.gokesari.com</t>
        </is>
      </c>
      <c r="E145" s="6" t="inlineStr"/>
      <c r="F145" s="6" t="inlineStr">
        <is>
          <t>Every tile/chip link (14)</t>
        </is>
      </c>
      <c r="G145" s="6" t="inlineStr"/>
      <c r="H145" s="6" t="inlineStr">
        <is>
          <t>Pass — all 200, no redirect home; account-only entries open /signin</t>
        </is>
      </c>
      <c r="I145" s="6" t="inlineStr">
        <is>
          <t>PASS</t>
        </is>
      </c>
    </row>
    <row r="146" ht="51" customHeight="1">
      <c r="A146" s="6" t="inlineStr">
        <is>
          <t>RES-0145</t>
        </is>
      </c>
      <c r="B146" s="6" t="inlineStr">
        <is>
          <t>TR-07</t>
        </is>
      </c>
      <c r="C146" s="6" t="inlineStr">
        <is>
          <t>docs/tile-board-2026-10/TEST_RESULTS.md</t>
        </is>
      </c>
      <c r="D146" s="6" t="inlineStr">
        <is>
          <t>5. test.gokesari.com</t>
        </is>
      </c>
      <c r="E146" s="6" t="inlineStr"/>
      <c r="F146" s="6" t="inlineStr">
        <is>
          <t>Language switch (phone and desktop): click मरा → Marathi, cookie set, survives reload, EN back</t>
        </is>
      </c>
      <c r="G146" s="6" t="inlineStr"/>
      <c r="H146" s="6" t="inlineStr">
        <is>
          <t>Pass</t>
        </is>
      </c>
      <c r="I146" s="6" t="inlineStr">
        <is>
          <t>PASS</t>
        </is>
      </c>
    </row>
    <row r="147" ht="39" customHeight="1">
      <c r="A147" s="6" t="inlineStr">
        <is>
          <t>RES-0146</t>
        </is>
      </c>
      <c r="B147" s="6" t="inlineStr">
        <is>
          <t>TR-07</t>
        </is>
      </c>
      <c r="C147" s="6" t="inlineStr">
        <is>
          <t>docs/tile-board-2026-10/TEST_RESULTS.md</t>
        </is>
      </c>
      <c r="D147" s="6" t="inlineStr">
        <is>
          <t>5. test.gokesari.com</t>
        </is>
      </c>
      <c r="E147" s="6" t="inlineStr"/>
      <c r="F147" s="6" t="inlineStr">
        <is>
          <t>Deliver-to opens the location chooser; cart bar on the first screen</t>
        </is>
      </c>
      <c r="G147" s="6" t="inlineStr"/>
      <c r="H147" s="6" t="inlineStr">
        <is>
          <t>Pass</t>
        </is>
      </c>
      <c r="I147" s="6" t="inlineStr">
        <is>
          <t>PASS</t>
        </is>
      </c>
    </row>
    <row r="148" ht="39" customHeight="1">
      <c r="A148" s="6" t="inlineStr">
        <is>
          <t>RES-0147</t>
        </is>
      </c>
      <c r="B148" s="6" t="inlineStr">
        <is>
          <t>TR-07</t>
        </is>
      </c>
      <c r="C148" s="6" t="inlineStr">
        <is>
          <t>docs/tile-board-2026-10/TEST_RESULTS.md</t>
        </is>
      </c>
      <c r="D148" s="6" t="inlineStr">
        <is>
          <t>5. test.gokesari.com</t>
        </is>
      </c>
      <c r="E148" s="6" t="inlineStr"/>
      <c r="F148" s="6" t="inlineStr">
        <is>
          <t>Live figures: shop count 9 and "All 45" categories come from the test database</t>
        </is>
      </c>
      <c r="G148" s="6" t="inlineStr"/>
      <c r="H148" s="6" t="inlineStr">
        <is>
          <t>Pass</t>
        </is>
      </c>
      <c r="I148" s="6" t="inlineStr">
        <is>
          <t>PASS</t>
        </is>
      </c>
    </row>
    <row r="149" ht="51" customHeight="1">
      <c r="A149" s="6" t="inlineStr">
        <is>
          <t>RES-0148</t>
        </is>
      </c>
      <c r="B149" s="6" t="inlineStr">
        <is>
          <t>TR-07</t>
        </is>
      </c>
      <c r="C149" s="6" t="inlineStr">
        <is>
          <t>docs/tile-board-2026-10/TEST_RESULTS.md</t>
        </is>
      </c>
      <c r="D149" s="6" t="inlineStr">
        <is>
          <t>5. test.gokesari.com</t>
        </is>
      </c>
      <c r="E149" s="6" t="inlineStr"/>
      <c r="F149" s="6" t="inlineStr">
        <is>
          <t>/shop and /admin signed out → sign-in page, site header shown; /search, /categories unchanged</t>
        </is>
      </c>
      <c r="G149" s="6" t="inlineStr"/>
      <c r="H149" s="6" t="inlineStr">
        <is>
          <t>Pass</t>
        </is>
      </c>
      <c r="I149" s="6" t="inlineStr">
        <is>
          <t>PASS</t>
        </is>
      </c>
    </row>
    <row r="150" ht="27" customHeight="1">
      <c r="A150" s="6" t="inlineStr">
        <is>
          <t>RES-0149</t>
        </is>
      </c>
      <c r="B150" s="6" t="inlineStr">
        <is>
          <t>TR-07</t>
        </is>
      </c>
      <c r="C150" s="6" t="inlineStr">
        <is>
          <t>docs/tile-board-2026-10/TEST_RESULTS.md</t>
        </is>
      </c>
      <c r="D150" s="6" t="inlineStr">
        <is>
          <t>5.1 Mobile app ("GoKesari Test" preview build)</t>
        </is>
      </c>
      <c r="E150" s="6" t="inlineStr"/>
      <c r="F150" s="6" t="inlineStr"/>
      <c r="G150" s="6" t="inlineStr">
        <is>
          <t>Board fits, no horizontal scroll, header 57 px, EN and MR</t>
        </is>
      </c>
      <c r="H150" s="6" t="inlineStr">
        <is>
          <t>Pass</t>
        </is>
      </c>
      <c r="I150" s="6" t="inlineStr">
        <is>
          <t>PASS</t>
        </is>
      </c>
    </row>
    <row r="151" ht="27" customHeight="1">
      <c r="A151" s="6" t="inlineStr">
        <is>
          <t>RES-0150</t>
        </is>
      </c>
      <c r="B151" s="6" t="inlineStr">
        <is>
          <t>TR-07</t>
        </is>
      </c>
      <c r="C151" s="6" t="inlineStr">
        <is>
          <t>docs/tile-board-2026-10/TEST_RESULTS.md</t>
        </is>
      </c>
      <c r="D151" s="6" t="inlineStr">
        <is>
          <t>5.1 Mobile app ("GoKesari Test" preview build)</t>
        </is>
      </c>
      <c r="E151" s="6" t="inlineStr"/>
      <c r="F151" s="6" t="inlineStr"/>
      <c r="G151" s="6" t="inlineStr">
        <is>
          <t>Tapping a chip (Open now) opens /shops?open=1</t>
        </is>
      </c>
      <c r="H151" s="6" t="inlineStr">
        <is>
          <t>Pass</t>
        </is>
      </c>
      <c r="I151" s="6" t="inlineStr">
        <is>
          <t>PASS</t>
        </is>
      </c>
    </row>
    <row r="152" ht="27" customHeight="1">
      <c r="A152" s="6" t="inlineStr">
        <is>
          <t>RES-0151</t>
        </is>
      </c>
      <c r="B152" s="6" t="inlineStr">
        <is>
          <t>TR-07</t>
        </is>
      </c>
      <c r="C152" s="6" t="inlineStr">
        <is>
          <t>docs/tile-board-2026-10/TEST_RESULTS.md</t>
        </is>
      </c>
      <c r="D152" s="6" t="inlineStr">
        <is>
          <t>5.1 Mobile app ("GoKesari Test" preview build)</t>
        </is>
      </c>
      <c r="E152" s="6" t="inlineStr"/>
      <c r="F152" s="6" t="inlineStr"/>
      <c r="G152" s="6" t="inlineStr">
        <is>
          <t>Language switch and cart bar</t>
        </is>
      </c>
      <c r="H152" s="6" t="inlineStr">
        <is>
          <t>Pass (same page as §5)</t>
        </is>
      </c>
      <c r="I152" s="6" t="inlineStr">
        <is>
          <t>PASS</t>
        </is>
      </c>
    </row>
    <row r="153" ht="51" customHeight="1">
      <c r="A153" s="6" t="inlineStr">
        <is>
          <t>RES-0152</t>
        </is>
      </c>
      <c r="B153" s="6" t="inlineStr">
        <is>
          <t>TR-08</t>
        </is>
      </c>
      <c r="C153" s="6" t="inlineStr">
        <is>
          <t>docs/tile-board-2026-10/GoKesari_UI_Test_Report_2026-10-09.xlsx</t>
        </is>
      </c>
      <c r="D153" s="6" t="inlineStr">
        <is>
          <t>End-to-end (B)</t>
        </is>
      </c>
      <c r="E153" s="6" t="inlineStr">
        <is>
          <t>20:42</t>
        </is>
      </c>
      <c r="F153" s="6" t="inlineStr">
        <is>
          <t>Customer · Wallet</t>
        </is>
      </c>
      <c r="G153" s="6" t="inlineStr">
        <is>
          <t>C-01 Top up the wallet (Cashfree sandbox, UPI testsuccess@gocash)</t>
        </is>
      </c>
      <c r="H153" s="6" t="inlineStr">
        <is>
          <t>Not completed: the wallet screen created the Cashfree sandbox session (session_iPGj…), but GitHub Actions did not start the Sandbox payment job (run 37973592123: “recent account payments have failed or your spending limit needs to be increased”). This session cannot reach Cashfree itself</t>
        </is>
      </c>
      <c r="I153" s="6" t="inlineStr">
        <is>
          <t>NOT RUN</t>
        </is>
      </c>
    </row>
    <row r="154" ht="27" customHeight="1">
      <c r="A154" s="6" t="inlineStr">
        <is>
          <t>RES-0153</t>
        </is>
      </c>
      <c r="B154" s="6" t="inlineStr">
        <is>
          <t>TR-08</t>
        </is>
      </c>
      <c r="C154" s="6" t="inlineStr">
        <is>
          <t>docs/tile-board-2026-10/GoKesari_UI_Test_Report_2026-10-09.xlsx</t>
        </is>
      </c>
      <c r="D154" s="6" t="inlineStr">
        <is>
          <t>End-to-end (B)</t>
        </is>
      </c>
      <c r="E154" s="6" t="inlineStr">
        <is>
          <t>20:21</t>
        </is>
      </c>
      <c r="F154" s="6" t="inlineStr">
        <is>
          <t>Customer · Search</t>
        </is>
      </c>
      <c r="G154" s="6" t="inlineStr">
        <is>
          <t>C-02 Search from the board (phone)</t>
        </is>
      </c>
      <c r="H154" s="6" t="inlineStr">
        <is>
          <t>/search?q=bread: 14 product cards</t>
        </is>
      </c>
      <c r="I154" s="6" t="inlineStr">
        <is>
          <t>PASS</t>
        </is>
      </c>
    </row>
    <row r="155" ht="27" customHeight="1">
      <c r="A155" s="6" t="inlineStr">
        <is>
          <t>RES-0154</t>
        </is>
      </c>
      <c r="B155" s="6" t="inlineStr">
        <is>
          <t>TR-08</t>
        </is>
      </c>
      <c r="C155" s="6" t="inlineStr">
        <is>
          <t>docs/tile-board-2026-10/GoKesari_UI_Test_Report_2026-10-09.xlsx</t>
        </is>
      </c>
      <c r="D155" s="6" t="inlineStr">
        <is>
          <t>End-to-end (B)</t>
        </is>
      </c>
      <c r="E155" s="6" t="inlineStr">
        <is>
          <t>20:21</t>
        </is>
      </c>
      <c r="F155" s="6" t="inlineStr">
        <is>
          <t>Customer · Browse</t>
        </is>
      </c>
      <c r="G155" s="6" t="inlineStr">
        <is>
          <t>C-03 Categories → category page (phone)</t>
        </is>
      </c>
      <c r="H155" s="6" t="inlineStr">
        <is>
          <t>/category/BAKERY: 60 products</t>
        </is>
      </c>
      <c r="I155" s="6" t="inlineStr">
        <is>
          <t>PASS</t>
        </is>
      </c>
    </row>
    <row r="156" ht="27" customHeight="1">
      <c r="A156" s="6" t="inlineStr">
        <is>
          <t>RES-0155</t>
        </is>
      </c>
      <c r="B156" s="6" t="inlineStr">
        <is>
          <t>TR-08</t>
        </is>
      </c>
      <c r="C156" s="6" t="inlineStr">
        <is>
          <t>docs/tile-board-2026-10/GoKesari_UI_Test_Report_2026-10-09.xlsx</t>
        </is>
      </c>
      <c r="D156" s="6" t="inlineStr">
        <is>
          <t>End-to-end (B)</t>
        </is>
      </c>
      <c r="E156" s="6" t="inlineStr">
        <is>
          <t>20:21</t>
        </is>
      </c>
      <c r="F156" s="6" t="inlineStr">
        <is>
          <t>Customer · Browse</t>
        </is>
      </c>
      <c r="G156" s="6" t="inlineStr">
        <is>
          <t>C-04 Shops tile → shop page shows products first</t>
        </is>
      </c>
      <c r="H156" s="6" t="inlineStr">
        <is>
          <t>first product card at y=571 px (screen 800); shop info folded: true</t>
        </is>
      </c>
      <c r="I156" s="6" t="inlineStr">
        <is>
          <t>PASS</t>
        </is>
      </c>
    </row>
    <row r="157" ht="27" customHeight="1">
      <c r="A157" s="6" t="inlineStr">
        <is>
          <t>RES-0156</t>
        </is>
      </c>
      <c r="B157" s="6" t="inlineStr">
        <is>
          <t>TR-08</t>
        </is>
      </c>
      <c r="C157" s="6" t="inlineStr">
        <is>
          <t>docs/tile-board-2026-10/GoKesari_UI_Test_Report_2026-10-09.xlsx</t>
        </is>
      </c>
      <c r="D157" s="6" t="inlineStr">
        <is>
          <t>End-to-end (B)</t>
        </is>
      </c>
      <c r="E157" s="6" t="inlineStr">
        <is>
          <t>20:21</t>
        </is>
      </c>
      <c r="F157" s="6" t="inlineStr">
        <is>
          <t>Customer · Cart</t>
        </is>
      </c>
      <c r="G157" s="6" t="inlineStr">
        <is>
          <t>C-05 Add to cart (phone card: Add, then −/+)</t>
        </is>
      </c>
      <c r="H157" s="6" t="inlineStr">
        <is>
          <t>stepper shown; cart: Burger Bun×1</t>
        </is>
      </c>
      <c r="I157" s="6" t="inlineStr">
        <is>
          <t>PASS</t>
        </is>
      </c>
    </row>
    <row r="158" ht="39" customHeight="1">
      <c r="A158" s="6" t="inlineStr">
        <is>
          <t>RES-0157</t>
        </is>
      </c>
      <c r="B158" s="6" t="inlineStr">
        <is>
          <t>TR-08</t>
        </is>
      </c>
      <c r="C158" s="6" t="inlineStr">
        <is>
          <t>docs/tile-board-2026-10/GoKesari_UI_Test_Report_2026-10-09.xlsx</t>
        </is>
      </c>
      <c r="D158" s="6" t="inlineStr">
        <is>
          <t>End-to-end (B)</t>
        </is>
      </c>
      <c r="E158" s="6" t="inlineStr">
        <is>
          <t>20:21</t>
        </is>
      </c>
      <c r="F158" s="6" t="inlineStr">
        <is>
          <t>Customer · Cancel</t>
        </is>
      </c>
      <c r="G158" s="6" t="inlineStr">
        <is>
          <t>C-15 Accepted order: Cancel follows the business rule</t>
        </is>
      </c>
      <c r="H158" s="6" t="inlineStr">
        <is>
          <t>order shown: true; Cancel button: 0; direct API cancel → 409 {"error":{"code":"CONFLICT","message":"This order is already being prepared. Please contact the shop to cancel it."}}</t>
        </is>
      </c>
      <c r="I158" s="6" t="inlineStr">
        <is>
          <t>PASS</t>
        </is>
      </c>
    </row>
    <row r="159" ht="27" customHeight="1">
      <c r="A159" s="6" t="inlineStr">
        <is>
          <t>RES-0158</t>
        </is>
      </c>
      <c r="B159" s="6" t="inlineStr">
        <is>
          <t>TR-08</t>
        </is>
      </c>
      <c r="C159" s="6" t="inlineStr">
        <is>
          <t>docs/tile-board-2026-10/GoKesari_UI_Test_Report_2026-10-09.xlsx</t>
        </is>
      </c>
      <c r="D159" s="6" t="inlineStr">
        <is>
          <t>End-to-end (B)</t>
        </is>
      </c>
      <c r="E159" s="6" t="inlineStr">
        <is>
          <t>20:23</t>
        </is>
      </c>
      <c r="F159" s="6" t="inlineStr">
        <is>
          <t>Customer · Checkout</t>
        </is>
      </c>
      <c r="G159" s="6" t="inlineStr">
        <is>
          <t>C-06 Checkout (wallet, or cash on delivery when the wallet is short)</t>
        </is>
      </c>
      <c r="H159" s="6" t="inlineStr">
        <is>
          <t>order DB-20261009-LSIMHV CONFIRMED (WALLET), total ₹50; wallet ₹80 → ₹30; URL /orders?placed=1</t>
        </is>
      </c>
      <c r="I159" s="6" t="inlineStr">
        <is>
          <t>PASS</t>
        </is>
      </c>
    </row>
    <row r="160" ht="39" customHeight="1">
      <c r="A160" s="6" t="inlineStr">
        <is>
          <t>RES-0159</t>
        </is>
      </c>
      <c r="B160" s="6" t="inlineStr">
        <is>
          <t>TR-08</t>
        </is>
      </c>
      <c r="C160" s="6" t="inlineStr">
        <is>
          <t>docs/tile-board-2026-10/GoKesari_UI_Test_Report_2026-10-09.xlsx</t>
        </is>
      </c>
      <c r="D160" s="6" t="inlineStr">
        <is>
          <t>End-to-end (B)</t>
        </is>
      </c>
      <c r="E160" s="6" t="inlineStr">
        <is>
          <t>20:35</t>
        </is>
      </c>
      <c r="F160" s="6" t="inlineStr">
        <is>
          <t>Customer · Tracking</t>
        </is>
      </c>
      <c r="G160" s="6" t="inlineStr">
        <is>
          <t>C-07 Track an order from 'Do now' (phone)</t>
        </is>
      </c>
      <c r="H160" s="6" t="inlineStr">
        <is>
          <t>Do now said "Track order ready · E2E Four Features Bakery" (→ /orders?tab=active#order-DB-20261008-8QZBEQ); landed on /orders?tab=active#order-DB-20261008-8QZBEQ with 1 active order card(s)</t>
        </is>
      </c>
      <c r="I160" s="6" t="inlineStr">
        <is>
          <t>PASS</t>
        </is>
      </c>
    </row>
    <row r="161" ht="27" customHeight="1">
      <c r="A161" s="6" t="inlineStr">
        <is>
          <t>RES-0160</t>
        </is>
      </c>
      <c r="B161" s="6" t="inlineStr">
        <is>
          <t>TR-08</t>
        </is>
      </c>
      <c r="C161" s="6" t="inlineStr">
        <is>
          <t>docs/tile-board-2026-10/GoKesari_UI_Test_Report_2026-10-09.xlsx</t>
        </is>
      </c>
      <c r="D161" s="6" t="inlineStr">
        <is>
          <t>End-to-end (B)</t>
        </is>
      </c>
      <c r="E161" s="6" t="inlineStr">
        <is>
          <t>19:45</t>
        </is>
      </c>
      <c r="F161" s="6" t="inlineStr">
        <is>
          <t>Customer · Returns</t>
        </is>
      </c>
      <c r="G161" s="6" t="inlineStr">
        <is>
          <t>C-10 Return an item from a delivered order</t>
        </is>
      </c>
      <c r="H161" s="6" t="inlineStr">
        <is>
          <t>RT-30B14E73 UNDER_REVIEW, refund due ₹40, created 19:41 UTC; listed on Returns tab: true</t>
        </is>
      </c>
      <c r="I161" s="6" t="inlineStr">
        <is>
          <t>PASS</t>
        </is>
      </c>
    </row>
    <row r="162" ht="27" customHeight="1">
      <c r="A162" s="6" t="inlineStr">
        <is>
          <t>RES-0161</t>
        </is>
      </c>
      <c r="B162" s="6" t="inlineStr">
        <is>
          <t>TR-08</t>
        </is>
      </c>
      <c r="C162" s="6" t="inlineStr">
        <is>
          <t>docs/tile-board-2026-10/GoKesari_UI_Test_Report_2026-10-09.xlsx</t>
        </is>
      </c>
      <c r="D162" s="6" t="inlineStr">
        <is>
          <t>End-to-end (B)</t>
        </is>
      </c>
      <c r="E162" s="6" t="inlineStr">
        <is>
          <t>19:43</t>
        </is>
      </c>
      <c r="F162" s="6" t="inlineStr">
        <is>
          <t>Customer · Disputes</t>
        </is>
      </c>
      <c r="G162" s="6" t="inlineStr">
        <is>
          <t>C-11 Raise a dispute on a delivered order</t>
        </is>
      </c>
      <c r="H162" s="6" t="inlineStr">
        <is>
          <t>opened /disputes/c8150aa7-282f-4c35-80d1-8ac0a90cfe65?opened=1</t>
        </is>
      </c>
      <c r="I162" s="6" t="inlineStr">
        <is>
          <t>PASS</t>
        </is>
      </c>
    </row>
    <row r="163" ht="27" customHeight="1">
      <c r="A163" s="6" t="inlineStr">
        <is>
          <t>RES-0162</t>
        </is>
      </c>
      <c r="B163" s="6" t="inlineStr">
        <is>
          <t>TR-08</t>
        </is>
      </c>
      <c r="C163" s="6" t="inlineStr">
        <is>
          <t>docs/tile-board-2026-10/GoKesari_UI_Test_Report_2026-10-09.xlsx</t>
        </is>
      </c>
      <c r="D163" s="6" t="inlineStr">
        <is>
          <t>End-to-end (B)</t>
        </is>
      </c>
      <c r="E163" s="6" t="inlineStr">
        <is>
          <t>19:39</t>
        </is>
      </c>
      <c r="F163" s="6" t="inlineStr">
        <is>
          <t>Customer · Help</t>
        </is>
      </c>
      <c r="G163" s="6" t="inlineStr">
        <is>
          <t>C-12 Report a problem (support ticket)</t>
        </is>
      </c>
      <c r="H163" s="6" t="inlineStr">
        <is>
          <t>Reported — ticket GRV-000002. We will get back to you.</t>
        </is>
      </c>
      <c r="I163" s="6" t="inlineStr">
        <is>
          <t>PASS</t>
        </is>
      </c>
    </row>
    <row r="164" ht="27" customHeight="1">
      <c r="A164" s="6" t="inlineStr">
        <is>
          <t>RES-0163</t>
        </is>
      </c>
      <c r="B164" s="6" t="inlineStr">
        <is>
          <t>TR-08</t>
        </is>
      </c>
      <c r="C164" s="6" t="inlineStr">
        <is>
          <t>docs/tile-board-2026-10/GoKesari_UI_Test_Report_2026-10-09.xlsx</t>
        </is>
      </c>
      <c r="D164" s="6" t="inlineStr">
        <is>
          <t>End-to-end (B)</t>
        </is>
      </c>
      <c r="E164" s="6" t="inlineStr">
        <is>
          <t>19:40</t>
        </is>
      </c>
      <c r="F164" s="6" t="inlineStr">
        <is>
          <t>Customer · Subscriptions</t>
        </is>
      </c>
      <c r="G164" s="6" t="inlineStr">
        <is>
          <t>C-13 Set up a daily subscription (saved as a draft)</t>
        </is>
      </c>
      <c r="H164" s="6" t="inlineStr">
        <is>
          <t>/subscriptions/8e2cb590-4cac-45aa-9f40-25301a82de27; subscriptions: Burger Bun DRAFT</t>
        </is>
      </c>
      <c r="I164" s="6" t="inlineStr">
        <is>
          <t>PASS</t>
        </is>
      </c>
    </row>
    <row r="165" ht="27" customHeight="1">
      <c r="A165" s="6" t="inlineStr">
        <is>
          <t>RES-0164</t>
        </is>
      </c>
      <c r="B165" s="6" t="inlineStr">
        <is>
          <t>TR-08</t>
        </is>
      </c>
      <c r="C165" s="6" t="inlineStr">
        <is>
          <t>docs/tile-board-2026-10/GoKesari_UI_Test_Report_2026-10-09.xlsx</t>
        </is>
      </c>
      <c r="D165" s="6" t="inlineStr">
        <is>
          <t>End-to-end (B)</t>
        </is>
      </c>
      <c r="E165" s="6" t="inlineStr">
        <is>
          <t>19:40</t>
        </is>
      </c>
      <c r="F165" s="6" t="inlineStr">
        <is>
          <t>Customer · Profile</t>
        </is>
      </c>
      <c r="G165" s="6" t="inlineStr">
        <is>
          <t>C-14 Profile quick links and language switch (phone)</t>
        </is>
      </c>
      <c r="H165" s="6" t="inlineStr">
        <is>
          <t>profile quick links: 5; board in Devanagari after हिं: true; cookie back to: en</t>
        </is>
      </c>
      <c r="I165" s="6" t="inlineStr">
        <is>
          <t>PASS</t>
        </is>
      </c>
    </row>
    <row r="166" ht="27" customHeight="1">
      <c r="A166" s="6" t="inlineStr">
        <is>
          <t>RES-0165</t>
        </is>
      </c>
      <c r="B166" s="6" t="inlineStr">
        <is>
          <t>TR-08</t>
        </is>
      </c>
      <c r="C166" s="6" t="inlineStr">
        <is>
          <t>docs/tile-board-2026-10/GoKesari_UI_Test_Report_2026-10-09.xlsx</t>
        </is>
      </c>
      <c r="D166" s="6" t="inlineStr">
        <is>
          <t>End-to-end (B)</t>
        </is>
      </c>
      <c r="E166" s="6" t="inlineStr">
        <is>
          <t>19:59</t>
        </is>
      </c>
      <c r="F166" s="6" t="inlineStr">
        <is>
          <t>Shop owner · Prices</t>
        </is>
      </c>
      <c r="G166" s="6" t="inlineStr">
        <is>
          <t>S-07 Update a price</t>
        </is>
      </c>
      <c r="H166" s="6" t="inlineStr">
        <is>
          <t>saved ₹62; restored ₹60</t>
        </is>
      </c>
      <c r="I166" s="6" t="inlineStr">
        <is>
          <t>PASS</t>
        </is>
      </c>
    </row>
    <row r="167" ht="27" customHeight="1">
      <c r="A167" s="6" t="inlineStr">
        <is>
          <t>RES-0166</t>
        </is>
      </c>
      <c r="B167" s="6" t="inlineStr">
        <is>
          <t>TR-08</t>
        </is>
      </c>
      <c r="C167" s="6" t="inlineStr">
        <is>
          <t>docs/tile-board-2026-10/GoKesari_UI_Test_Report_2026-10-09.xlsx</t>
        </is>
      </c>
      <c r="D167" s="6" t="inlineStr">
        <is>
          <t>End-to-end (B)</t>
        </is>
      </c>
      <c r="E167" s="6" t="inlineStr">
        <is>
          <t>20:00</t>
        </is>
      </c>
      <c r="F167" s="6" t="inlineStr">
        <is>
          <t>Shop owner · Inventory</t>
        </is>
      </c>
      <c r="G167" s="6" t="inlineStr">
        <is>
          <t>S-08 Change stock</t>
        </is>
      </c>
      <c r="H167" s="6" t="inlineStr">
        <is>
          <t>saved 90; restored 100; inventory page /shop/inventory</t>
        </is>
      </c>
      <c r="I167" s="6" t="inlineStr">
        <is>
          <t>PASS</t>
        </is>
      </c>
    </row>
    <row r="168" ht="27" customHeight="1">
      <c r="A168" s="6" t="inlineStr">
        <is>
          <t>RES-0167</t>
        </is>
      </c>
      <c r="B168" s="6" t="inlineStr">
        <is>
          <t>TR-08</t>
        </is>
      </c>
      <c r="C168" s="6" t="inlineStr">
        <is>
          <t>docs/tile-board-2026-10/GoKesari_UI_Test_Report_2026-10-09.xlsx</t>
        </is>
      </c>
      <c r="D168" s="6" t="inlineStr">
        <is>
          <t>End-to-end (B)</t>
        </is>
      </c>
      <c r="E168" s="6" t="inlineStr">
        <is>
          <t>19:52</t>
        </is>
      </c>
      <c r="F168" s="6" t="inlineStr">
        <is>
          <t>Shop owner · Product categories</t>
        </is>
      </c>
      <c r="G168" s="6" t="inlineStr">
        <is>
          <t>S-09 Add a product category (then remove it)</t>
        </is>
      </c>
      <c r="H168" s="6" t="inlineStr">
        <is>
          <t>added "Dairy" → [Bakery, Dairy] (message: ""); after remove → [Bakery]</t>
        </is>
      </c>
      <c r="I168" s="6" t="inlineStr">
        <is>
          <t>PASS</t>
        </is>
      </c>
    </row>
    <row r="169" ht="27" customHeight="1">
      <c r="A169" s="6" t="inlineStr">
        <is>
          <t>RES-0168</t>
        </is>
      </c>
      <c r="B169" s="6" t="inlineStr">
        <is>
          <t>TR-08</t>
        </is>
      </c>
      <c r="C169" s="6" t="inlineStr">
        <is>
          <t>docs/tile-board-2026-10/GoKesari_UI_Test_Report_2026-10-09.xlsx</t>
        </is>
      </c>
      <c r="D169" s="6" t="inlineStr">
        <is>
          <t>End-to-end (B)</t>
        </is>
      </c>
      <c r="E169" s="6" t="inlineStr">
        <is>
          <t>19:52</t>
        </is>
      </c>
      <c r="F169" s="6" t="inlineStr">
        <is>
          <t>Shop owner · Photo catalogue</t>
        </is>
      </c>
      <c r="G169" s="6" t="inlineStr">
        <is>
          <t>S-10 Add a product photo</t>
        </is>
      </c>
      <c r="H169" s="6" t="inlineStr">
        <is>
          <t>message ""; live photo not yet; listed under "Awaiting approval": true</t>
        </is>
      </c>
      <c r="I169" s="6" t="inlineStr">
        <is>
          <t>PASS</t>
        </is>
      </c>
    </row>
    <row r="170" ht="27" customHeight="1">
      <c r="A170" s="6" t="inlineStr">
        <is>
          <t>RES-0169</t>
        </is>
      </c>
      <c r="B170" s="6" t="inlineStr">
        <is>
          <t>TR-08</t>
        </is>
      </c>
      <c r="C170" s="6" t="inlineStr">
        <is>
          <t>docs/tile-board-2026-10/GoKesari_UI_Test_Report_2026-10-09.xlsx</t>
        </is>
      </c>
      <c r="D170" s="6" t="inlineStr">
        <is>
          <t>End-to-end (B)</t>
        </is>
      </c>
      <c r="E170" s="6" t="inlineStr">
        <is>
          <t>19:57</t>
        </is>
      </c>
      <c r="F170" s="6" t="inlineStr">
        <is>
          <t>Shop owner · Returns</t>
        </is>
      </c>
      <c r="G170" s="6" t="inlineStr">
        <is>
          <t>S-11 Handle the customer return (approve)</t>
        </is>
      </c>
      <c r="H170" s="6" t="inlineStr">
        <is>
          <t>Approved 19:47 UTC; status APPROVED, Pickup: finding a rider (shown to shop and operations)</t>
        </is>
      </c>
      <c r="I170" s="6" t="inlineStr">
        <is>
          <t>PASS</t>
        </is>
      </c>
    </row>
    <row r="171" ht="27" customHeight="1">
      <c r="A171" s="6" t="inlineStr">
        <is>
          <t>RES-0170</t>
        </is>
      </c>
      <c r="B171" s="6" t="inlineStr">
        <is>
          <t>TR-08</t>
        </is>
      </c>
      <c r="C171" s="6" t="inlineStr">
        <is>
          <t>docs/tile-board-2026-10/GoKesari_UI_Test_Report_2026-10-09.xlsx</t>
        </is>
      </c>
      <c r="D171" s="6" t="inlineStr">
        <is>
          <t>End-to-end (B)</t>
        </is>
      </c>
      <c r="E171" s="6" t="inlineStr">
        <is>
          <t>19:48</t>
        </is>
      </c>
      <c r="F171" s="6" t="inlineStr">
        <is>
          <t>Shop owner · Disputes</t>
        </is>
      </c>
      <c r="G171" s="6" t="inlineStr">
        <is>
          <t>S-12 Reply to the customer's dispute</t>
        </is>
      </c>
      <c r="H171" s="6" t="inlineStr">
        <is>
          <t>/disputes/c8150aa7-282f-4c35-80d1-8ac0a90cfe65: reply shown true</t>
        </is>
      </c>
      <c r="I171" s="6" t="inlineStr">
        <is>
          <t>PASS</t>
        </is>
      </c>
    </row>
    <row r="172" ht="27" customHeight="1">
      <c r="A172" s="6" t="inlineStr">
        <is>
          <t>RES-0171</t>
        </is>
      </c>
      <c r="B172" s="6" t="inlineStr">
        <is>
          <t>TR-08</t>
        </is>
      </c>
      <c r="C172" s="6" t="inlineStr">
        <is>
          <t>docs/tile-board-2026-10/GoKesari_UI_Test_Report_2026-10-09.xlsx</t>
        </is>
      </c>
      <c r="D172" s="6" t="inlineStr">
        <is>
          <t>End-to-end (B)</t>
        </is>
      </c>
      <c r="E172" s="6" t="inlineStr">
        <is>
          <t>19:48</t>
        </is>
      </c>
      <c r="F172" s="6" t="inlineStr">
        <is>
          <t>Shop owner · Payout bank</t>
        </is>
      </c>
      <c r="G172" s="6" t="inlineStr">
        <is>
          <t>S-14 Payout bank account page</t>
        </is>
      </c>
      <c r="H172" s="6" t="inlineStr">
        <is>
          <t>ttlements. Finance → Ramesh Joshi UPI ID te•••••••••@gocash Verified Verified on 9/10/2026 by UPI · name Ramesh Joshi · ref 1461</t>
        </is>
      </c>
      <c r="I172" s="6" t="inlineStr">
        <is>
          <t>PASS</t>
        </is>
      </c>
    </row>
    <row r="173" ht="27" customHeight="1">
      <c r="A173" s="6" t="inlineStr">
        <is>
          <t>RES-0172</t>
        </is>
      </c>
      <c r="B173" s="6" t="inlineStr">
        <is>
          <t>TR-08</t>
        </is>
      </c>
      <c r="C173" s="6" t="inlineStr">
        <is>
          <t>docs/tile-board-2026-10/GoKesari_UI_Test_Report_2026-10-09.xlsx</t>
        </is>
      </c>
      <c r="D173" s="6" t="inlineStr">
        <is>
          <t>End-to-end (B)</t>
        </is>
      </c>
      <c r="E173" s="6" t="inlineStr">
        <is>
          <t>19:53</t>
        </is>
      </c>
      <c r="F173" s="6" t="inlineStr">
        <is>
          <t>Shop owner · Offers</t>
        </is>
      </c>
      <c r="G173" s="6" t="inlineStr">
        <is>
          <t>S-15 Create an offer (then switch it off)</t>
        </is>
      </c>
      <c r="H173" s="6" t="inlineStr">
        <is>
          <t>created: true (10% on Butter Khari); switched off: true</t>
        </is>
      </c>
      <c r="I173" s="6" t="inlineStr">
        <is>
          <t>PASS</t>
        </is>
      </c>
    </row>
    <row r="174" ht="27" customHeight="1">
      <c r="A174" s="6" t="inlineStr">
        <is>
          <t>RES-0173</t>
        </is>
      </c>
      <c r="B174" s="6" t="inlineStr">
        <is>
          <t>TR-08</t>
        </is>
      </c>
      <c r="C174" s="6" t="inlineStr">
        <is>
          <t>docs/tile-board-2026-10/GoKesari_UI_Test_Report_2026-10-09.xlsx</t>
        </is>
      </c>
      <c r="D174" s="6" t="inlineStr">
        <is>
          <t>End-to-end (B)</t>
        </is>
      </c>
      <c r="E174" s="6" t="inlineStr">
        <is>
          <t>19:48</t>
        </is>
      </c>
      <c r="F174" s="6" t="inlineStr">
        <is>
          <t>Shop owner · Analytics</t>
        </is>
      </c>
      <c r="G174" s="6" t="inlineStr">
        <is>
          <t>S-16 Analytics</t>
        </is>
      </c>
      <c r="H174" s="6" t="inlineStr">
        <is>
          <t>Analytics E2E Four Features Bakery — 2026-09-11 to 2026-10-11 (end exclusive). Last 7 days Last 30 days Last 90 days Orders KPI-001GMV deliv</t>
        </is>
      </c>
      <c r="I174" s="6" t="inlineStr">
        <is>
          <t>PASS</t>
        </is>
      </c>
    </row>
    <row r="175" ht="27" customHeight="1">
      <c r="A175" s="6" t="inlineStr">
        <is>
          <t>RES-0174</t>
        </is>
      </c>
      <c r="B175" s="6" t="inlineStr">
        <is>
          <t>TR-08</t>
        </is>
      </c>
      <c r="C175" s="6" t="inlineStr">
        <is>
          <t>docs/tile-board-2026-10/GoKesari_UI_Test_Report_2026-10-09.xlsx</t>
        </is>
      </c>
      <c r="D175" s="6" t="inlineStr">
        <is>
          <t>End-to-end (B)</t>
        </is>
      </c>
      <c r="E175" s="6" t="inlineStr">
        <is>
          <t>19:48</t>
        </is>
      </c>
      <c r="F175" s="6" t="inlineStr">
        <is>
          <t>Shop owner · Legal documents</t>
        </is>
      </c>
      <c r="G175" s="6" t="inlineStr">
        <is>
          <t>S-17 Legal documents</t>
        </is>
      </c>
      <c r="H175" s="6" t="inlineStr">
        <is>
          <t xml:space="preserve">ters are shown. Business verification → FSSAI licence Required for: Shops that sell food Approved Number ••••1234 Expires 31 </t>
        </is>
      </c>
      <c r="I175" s="6" t="inlineStr">
        <is>
          <t>PASS</t>
        </is>
      </c>
    </row>
    <row r="176" ht="27" customHeight="1">
      <c r="A176" s="6" t="inlineStr">
        <is>
          <t>RES-0175</t>
        </is>
      </c>
      <c r="B176" s="6" t="inlineStr">
        <is>
          <t>TR-08</t>
        </is>
      </c>
      <c r="C176" s="6" t="inlineStr">
        <is>
          <t>docs/tile-board-2026-10/GoKesari_UI_Test_Report_2026-10-09.xlsx</t>
        </is>
      </c>
      <c r="D176" s="6" t="inlineStr">
        <is>
          <t>End-to-end (B)</t>
        </is>
      </c>
      <c r="E176" s="6" t="inlineStr">
        <is>
          <t>19:57</t>
        </is>
      </c>
      <c r="F176" s="6" t="inlineStr">
        <is>
          <t>Operator · Returns</t>
        </is>
      </c>
      <c r="G176" s="6" t="inlineStr">
        <is>
          <t>O-07 Returns queue (all returns, status filters)</t>
        </is>
      </c>
      <c r="H176" s="6" t="inlineStr">
        <is>
          <t>RT-30B14E73 listed (Approved, finding a rider) with Find a rider again / Cancel return; 13 status filters</t>
        </is>
      </c>
      <c r="I176" s="6" t="inlineStr">
        <is>
          <t>PASS</t>
        </is>
      </c>
    </row>
    <row r="177" ht="39" customHeight="1">
      <c r="A177" s="6" t="inlineStr">
        <is>
          <t>RES-0176</t>
        </is>
      </c>
      <c r="B177" s="6" t="inlineStr">
        <is>
          <t>TR-08</t>
        </is>
      </c>
      <c r="C177" s="6" t="inlineStr">
        <is>
          <t>docs/tile-board-2026-10/GoKesari_UI_Test_Report_2026-10-09.xlsx</t>
        </is>
      </c>
      <c r="D177" s="6" t="inlineStr">
        <is>
          <t>End-to-end (B)</t>
        </is>
      </c>
      <c r="E177" s="6" t="inlineStr">
        <is>
          <t>19:57</t>
        </is>
      </c>
      <c r="F177" s="6" t="inlineStr">
        <is>
          <t>Shop owner · Returns</t>
        </is>
      </c>
      <c r="G177" s="6" t="inlineStr">
        <is>
          <t>S-11b Return pickup, inspection and refund</t>
        </is>
      </c>
      <c r="H177" s="6" t="inlineStr">
        <is>
          <t>Not tested: needs a delivery partner to accept and collect the pickup (manual completion is offered to staff only once a rider is on the way); no rider sign-in in this run</t>
        </is>
      </c>
      <c r="I177" s="6" t="inlineStr">
        <is>
          <t>NOT RUN</t>
        </is>
      </c>
    </row>
    <row r="178" ht="27" customHeight="1">
      <c r="A178" s="6" t="inlineStr">
        <is>
          <t>RES-0177</t>
        </is>
      </c>
      <c r="B178" s="6" t="inlineStr">
        <is>
          <t>TR-08</t>
        </is>
      </c>
      <c r="C178" s="6" t="inlineStr">
        <is>
          <t>docs/tile-board-2026-10/GoKesari_UI_Test_Report_2026-10-09.xlsx</t>
        </is>
      </c>
      <c r="D178" s="6" t="inlineStr">
        <is>
          <t>End-to-end (B)</t>
        </is>
      </c>
      <c r="E178" s="6" t="inlineStr">
        <is>
          <t>20:13</t>
        </is>
      </c>
      <c r="F178" s="6" t="inlineStr">
        <is>
          <t>Admin · Shops</t>
        </is>
      </c>
      <c r="G178" s="6" t="inlineStr">
        <is>
          <t>A-02 Suspend a shop, then reinstate it</t>
        </is>
      </c>
      <c r="H178" s="6" t="inlineStr">
        <is>
          <t>Suspended (row showed suspended + Reinstate); reinstated at 20:2x UTC → approved + Suspend… again</t>
        </is>
      </c>
      <c r="I178" s="6" t="inlineStr">
        <is>
          <t>PASS</t>
        </is>
      </c>
    </row>
    <row r="179" ht="27" customHeight="1">
      <c r="A179" s="6" t="inlineStr">
        <is>
          <t>RES-0178</t>
        </is>
      </c>
      <c r="B179" s="6" t="inlineStr">
        <is>
          <t>TR-08</t>
        </is>
      </c>
      <c r="C179" s="6" t="inlineStr">
        <is>
          <t>docs/tile-board-2026-10/GoKesari_UI_Test_Report_2026-10-09.xlsx</t>
        </is>
      </c>
      <c r="D179" s="6" t="inlineStr">
        <is>
          <t>End-to-end (B)</t>
        </is>
      </c>
      <c r="E179" s="6" t="inlineStr">
        <is>
          <t>20:41</t>
        </is>
      </c>
      <c r="F179" s="6" t="inlineStr">
        <is>
          <t>Admin · Users</t>
        </is>
      </c>
      <c r="G179" s="6" t="inlineStr">
        <is>
          <t>A-03 Users and privileges: give a role, then take it back</t>
        </is>
      </c>
      <c r="H179" s="6" t="inlineStr">
        <is>
          <t>Save enabled after the change: true; saved on: true; removed again: true</t>
        </is>
      </c>
      <c r="I179" s="6" t="inlineStr">
        <is>
          <t>PASS</t>
        </is>
      </c>
    </row>
    <row r="180" ht="27" customHeight="1">
      <c r="A180" s="6" t="inlineStr">
        <is>
          <t>RES-0179</t>
        </is>
      </c>
      <c r="B180" s="6" t="inlineStr">
        <is>
          <t>TR-08</t>
        </is>
      </c>
      <c r="C180" s="6" t="inlineStr">
        <is>
          <t>docs/tile-board-2026-10/GoKesari_UI_Test_Report_2026-10-09.xlsx</t>
        </is>
      </c>
      <c r="D180" s="6" t="inlineStr">
        <is>
          <t>End-to-end (B)</t>
        </is>
      </c>
      <c r="E180" s="6" t="inlineStr">
        <is>
          <t>20:12</t>
        </is>
      </c>
      <c r="F180" s="6" t="inlineStr">
        <is>
          <t>Admin · Catalogue</t>
        </is>
      </c>
      <c r="G180" s="6" t="inlineStr">
        <is>
          <t>A-04 Categories and product master</t>
        </is>
      </c>
      <c r="H180" s="6" t="inlineStr">
        <is>
          <t>categories page lists Bakery/Dairy: true; product master: 2164 products with quality figures (review queue, duplicates, missing data)</t>
        </is>
      </c>
      <c r="I180" s="6" t="inlineStr">
        <is>
          <t>PASS</t>
        </is>
      </c>
    </row>
    <row r="181" ht="27" customHeight="1">
      <c r="A181" s="6" t="inlineStr">
        <is>
          <t>RES-0180</t>
        </is>
      </c>
      <c r="B181" s="6" t="inlineStr">
        <is>
          <t>TR-08</t>
        </is>
      </c>
      <c r="C181" s="6" t="inlineStr">
        <is>
          <t>docs/tile-board-2026-10/GoKesari_UI_Test_Report_2026-10-09.xlsx</t>
        </is>
      </c>
      <c r="D181" s="6" t="inlineStr">
        <is>
          <t>End-to-end (B)</t>
        </is>
      </c>
      <c r="E181" s="6" t="inlineStr">
        <is>
          <t>20:02</t>
        </is>
      </c>
      <c r="F181" s="6" t="inlineStr">
        <is>
          <t>Admin · Payments</t>
        </is>
      </c>
      <c r="G181" s="6" t="inlineStr">
        <is>
          <t>A-05 Payments menu: every page opens</t>
        </is>
      </c>
      <c r="H181" s="6" t="inlineStr">
        <is>
          <t>9 pages opened; errors: none</t>
        </is>
      </c>
      <c r="I181" s="6" t="inlineStr">
        <is>
          <t>PASS</t>
        </is>
      </c>
    </row>
    <row r="182" ht="27" customHeight="1">
      <c r="A182" s="6" t="inlineStr">
        <is>
          <t>RES-0181</t>
        </is>
      </c>
      <c r="B182" s="6" t="inlineStr">
        <is>
          <t>TR-08</t>
        </is>
      </c>
      <c r="C182" s="6" t="inlineStr">
        <is>
          <t>docs/tile-board-2026-10/GoKesari_UI_Test_Report_2026-10-09.xlsx</t>
        </is>
      </c>
      <c r="D182" s="6" t="inlineStr">
        <is>
          <t>End-to-end (B)</t>
        </is>
      </c>
      <c r="E182" s="6" t="inlineStr">
        <is>
          <t>20:03</t>
        </is>
      </c>
      <c r="F182" s="6" t="inlineStr">
        <is>
          <t>Admin · Reports</t>
        </is>
      </c>
      <c r="G182" s="6" t="inlineStr">
        <is>
          <t>A-07 Reports menu: every page opens</t>
        </is>
      </c>
      <c r="H182" s="6" t="inlineStr">
        <is>
          <t>7 pages opened; errors: none</t>
        </is>
      </c>
      <c r="I182" s="6" t="inlineStr">
        <is>
          <t>PASS</t>
        </is>
      </c>
    </row>
    <row r="183" ht="27" customHeight="1">
      <c r="A183" s="6" t="inlineStr">
        <is>
          <t>RES-0182</t>
        </is>
      </c>
      <c r="B183" s="6" t="inlineStr">
        <is>
          <t>TR-08</t>
        </is>
      </c>
      <c r="C183" s="6" t="inlineStr">
        <is>
          <t>docs/tile-board-2026-10/GoKesari_UI_Test_Report_2026-10-09.xlsx</t>
        </is>
      </c>
      <c r="D183" s="6" t="inlineStr">
        <is>
          <t>End-to-end (B)</t>
        </is>
      </c>
      <c r="E183" s="6" t="inlineStr">
        <is>
          <t>20:04</t>
        </is>
      </c>
      <c r="F183" s="6" t="inlineStr">
        <is>
          <t>Admin · Settings</t>
        </is>
      </c>
      <c r="G183" s="6" t="inlineStr">
        <is>
          <t>A-08 Settings menu: every page opens</t>
        </is>
      </c>
      <c r="H183" s="6" t="inlineStr">
        <is>
          <t>10 pages opened; errors: none</t>
        </is>
      </c>
      <c r="I183" s="6" t="inlineStr">
        <is>
          <t>PASS</t>
        </is>
      </c>
    </row>
    <row r="184" ht="51" customHeight="1">
      <c r="A184" s="6" t="inlineStr">
        <is>
          <t>RES-0183</t>
        </is>
      </c>
      <c r="B184" s="6" t="inlineStr">
        <is>
          <t>TR-08</t>
        </is>
      </c>
      <c r="C184" s="6" t="inlineStr">
        <is>
          <t>docs/tile-board-2026-10/GoKesari_UI_Test_Report_2026-10-09.xlsx</t>
        </is>
      </c>
      <c r="D184" s="6" t="inlineStr">
        <is>
          <t>End-to-end (B)</t>
        </is>
      </c>
      <c r="E184" s="6" t="inlineStr">
        <is>
          <t>20:18</t>
        </is>
      </c>
      <c r="F184" s="6" t="inlineStr">
        <is>
          <t>Admin · Disputes</t>
        </is>
      </c>
      <c r="G184" s="6" t="inlineStr">
        <is>
          <t>A-06 Resolve the customer's dispute</t>
        </is>
      </c>
      <c r="H184" s="6" t="inlineStr">
        <is>
          <t>DSP-000001 RESOLVED; customer wallet ₹20 → ₹80. The status changed a few seconds after the click; a repeat click was refused (409: order already refunded). Observation: the queue gave no visible confirmation within 5 s</t>
        </is>
      </c>
      <c r="I184" s="6" t="inlineStr">
        <is>
          <t>PASS</t>
        </is>
      </c>
    </row>
    <row r="185" ht="51" customHeight="1">
      <c r="A185" s="6" t="inlineStr">
        <is>
          <t>RES-0184</t>
        </is>
      </c>
      <c r="B185" s="6" t="inlineStr">
        <is>
          <t>TR-08</t>
        </is>
      </c>
      <c r="C185" s="6" t="inlineStr">
        <is>
          <t>docs/tile-board-2026-10/GoKesari_UI_Test_Report_2026-10-09.xlsx</t>
        </is>
      </c>
      <c r="D185" s="6" t="inlineStr">
        <is>
          <t>End-to-end (B)</t>
        </is>
      </c>
      <c r="E185" s="6" t="inlineStr">
        <is>
          <t>20:42</t>
        </is>
      </c>
      <c r="F185" s="6" t="inlineStr">
        <is>
          <t>Operator · Shop onboarding</t>
        </is>
      </c>
      <c r="G185" s="6" t="inlineStr">
        <is>
          <t>O-02 Approve a shop application</t>
        </is>
      </c>
      <c r="H185" s="6" t="inlineStr">
        <is>
          <t>Not completed: the shop is KYC pending (PAN, GSTIN, Shop Act certificate not yet verified), so Approve is disabled with the reason “Only a verified shop can be approved” (correct, gate rule statusModels). Queue, stage filters, next-step text and the verification link were checked</t>
        </is>
      </c>
      <c r="I185" s="6" t="inlineStr">
        <is>
          <t>NOT RUN</t>
        </is>
      </c>
    </row>
    <row r="186" ht="27" customHeight="1">
      <c r="A186" s="6" t="inlineStr">
        <is>
          <t>RES-0185</t>
        </is>
      </c>
      <c r="B186" s="6" t="inlineStr">
        <is>
          <t>TR-08</t>
        </is>
      </c>
      <c r="C186" s="6" t="inlineStr">
        <is>
          <t>docs/tile-board-2026-10/GoKesari_UI_Test_Report_2026-10-09.xlsx</t>
        </is>
      </c>
      <c r="D186" s="6" t="inlineStr">
        <is>
          <t>End-to-end (B)</t>
        </is>
      </c>
      <c r="E186" s="6" t="inlineStr">
        <is>
          <t>20:05</t>
        </is>
      </c>
      <c r="F186" s="6" t="inlineStr">
        <is>
          <t>Operator · Order support</t>
        </is>
      </c>
      <c r="G186" s="6" t="inlineStr">
        <is>
          <t>O-03 Find and support a customer order</t>
        </is>
      </c>
      <c r="H186" s="6" t="inlineStr">
        <is>
          <t>order DB-20261008-TRM5R5 found: true; exceptions page opens: true</t>
        </is>
      </c>
      <c r="I186" s="6" t="inlineStr">
        <is>
          <t>PASS</t>
        </is>
      </c>
    </row>
    <row r="187" ht="39" customHeight="1">
      <c r="A187" s="6" t="inlineStr">
        <is>
          <t>RES-0186</t>
        </is>
      </c>
      <c r="B187" s="6" t="inlineStr">
        <is>
          <t>TR-08</t>
        </is>
      </c>
      <c r="C187" s="6" t="inlineStr">
        <is>
          <t>docs/tile-board-2026-10/GoKesari_UI_Test_Report_2026-10-09.xlsx</t>
        </is>
      </c>
      <c r="D187" s="6" t="inlineStr">
        <is>
          <t>End-to-end (B)</t>
        </is>
      </c>
      <c r="E187" s="6" t="inlineStr">
        <is>
          <t>20:06</t>
        </is>
      </c>
      <c r="F187" s="6" t="inlineStr">
        <is>
          <t>Operator · Riders &amp; societies</t>
        </is>
      </c>
      <c r="G187" s="6" t="inlineStr">
        <is>
          <t>O-04 Riders and societies</t>
        </is>
      </c>
      <c r="H187" s="6" t="inlineStr">
        <is>
          <t>riders page 256 chars ("Delivery partners Registered 0 Under review 0 Approved 1 Rej"); societies "Societies Verify new societies; suspend or reinstate existin"</t>
        </is>
      </c>
      <c r="I187" s="6" t="inlineStr">
        <is>
          <t>PASS</t>
        </is>
      </c>
    </row>
    <row r="188" ht="27" customHeight="1">
      <c r="A188" s="6" t="inlineStr">
        <is>
          <t>RES-0187</t>
        </is>
      </c>
      <c r="B188" s="6" t="inlineStr">
        <is>
          <t>TR-08</t>
        </is>
      </c>
      <c r="C188" s="6" t="inlineStr">
        <is>
          <t>docs/tile-board-2026-10/GoKesari_UI_Test_Report_2026-10-09.xlsx</t>
        </is>
      </c>
      <c r="D188" s="6" t="inlineStr">
        <is>
          <t>End-to-end (B)</t>
        </is>
      </c>
      <c r="E188" s="6" t="inlineStr">
        <is>
          <t>20:13</t>
        </is>
      </c>
      <c r="F188" s="6" t="inlineStr">
        <is>
          <t>Operator · Vouchers</t>
        </is>
      </c>
      <c r="G188" s="6" t="inlineStr">
        <is>
          <t>O-05 Vouchers: list, bulk upload (create is admin-only)</t>
        </is>
      </c>
      <c r="H188" s="6" t="inlineStr">
        <is>
          <t>figures and list shown: true; upload shown: true; Create button: 0</t>
        </is>
      </c>
      <c r="I188" s="6" t="inlineStr">
        <is>
          <t>PASS</t>
        </is>
      </c>
    </row>
    <row r="189" ht="27" customHeight="1">
      <c r="A189" s="6" t="inlineStr">
        <is>
          <t>RES-0188</t>
        </is>
      </c>
      <c r="B189" s="6" t="inlineStr">
        <is>
          <t>TR-08</t>
        </is>
      </c>
      <c r="C189" s="6" t="inlineStr">
        <is>
          <t>docs/tile-board-2026-10/GoKesari_UI_Test_Report_2026-10-09.xlsx</t>
        </is>
      </c>
      <c r="D189" s="6" t="inlineStr">
        <is>
          <t>End-to-end (B)</t>
        </is>
      </c>
      <c r="E189" s="6" t="inlineStr">
        <is>
          <t>20:07</t>
        </is>
      </c>
      <c r="F189" s="6" t="inlineStr">
        <is>
          <t>Operator · Tickets</t>
        </is>
      </c>
      <c r="G189" s="6" t="inlineStr">
        <is>
          <t>O-06 Ticket open → in progress → resolved → closed</t>
        </is>
      </c>
      <c r="H189" s="6" t="inlineStr">
        <is>
          <t>states seen: OPEN → IN PROGRESS → RESOLVED → CLOSED</t>
        </is>
      </c>
      <c r="I189" s="6" t="inlineStr">
        <is>
          <t>PASS</t>
        </is>
      </c>
    </row>
    <row r="190" ht="27" customHeight="1">
      <c r="A190" s="6" t="inlineStr">
        <is>
          <t>RES-0189</t>
        </is>
      </c>
      <c r="B190" s="6" t="inlineStr">
        <is>
          <t>TR-08</t>
        </is>
      </c>
      <c r="C190" s="6" t="inlineStr">
        <is>
          <t>docs/tile-board-2026-10/GoKesari_UI_Test_Report_2026-10-09.xlsx</t>
        </is>
      </c>
      <c r="D190" s="6" t="inlineStr">
        <is>
          <t>End-to-end (B)</t>
        </is>
      </c>
      <c r="E190" s="6" t="inlineStr">
        <is>
          <t>20:16</t>
        </is>
      </c>
      <c r="F190" s="6" t="inlineStr">
        <is>
          <t>Admin · Vouchers</t>
        </is>
      </c>
      <c r="G190" s="6" t="inlineStr">
        <is>
          <t>A-09 Create a top-up voucher</t>
        </is>
      </c>
      <c r="H190" s="6" t="inlineStr">
        <is>
          <t>voucher E2EUI5003 listed: true</t>
        </is>
      </c>
      <c r="I190" s="6" t="inlineStr">
        <is>
          <t>PASS</t>
        </is>
      </c>
    </row>
    <row r="191" ht="27" customHeight="1">
      <c r="A191" s="6" t="inlineStr">
        <is>
          <t>RES-0190</t>
        </is>
      </c>
      <c r="B191" s="6" t="inlineStr">
        <is>
          <t>TR-08</t>
        </is>
      </c>
      <c r="C191" s="6" t="inlineStr">
        <is>
          <t>docs/tile-board-2026-10/GoKesari_UI_Test_Report_2026-10-09.xlsx</t>
        </is>
      </c>
      <c r="D191" s="6" t="inlineStr">
        <is>
          <t>End-to-end (B)</t>
        </is>
      </c>
      <c r="E191" s="6" t="inlineStr">
        <is>
          <t>20:23</t>
        </is>
      </c>
      <c r="F191" s="6" t="inlineStr">
        <is>
          <t>Customer · Cancel</t>
        </is>
      </c>
      <c r="G191" s="6" t="inlineStr">
        <is>
          <t>C-08 Cancel a new order before the shop accepts it → full refund</t>
        </is>
      </c>
      <c r="H191" s="6" t="inlineStr">
        <is>
          <t>Status REFUNDED; wallet ₹30 → ₹80 (₹50 of ₹50); message: Order DB-20261009-LSIMHV cancelled — The full amount has gone back to your wallet</t>
        </is>
      </c>
      <c r="I191" s="6" t="inlineStr">
        <is>
          <t>PASS</t>
        </is>
      </c>
    </row>
    <row r="192" ht="27" customHeight="1">
      <c r="A192" s="6" t="inlineStr">
        <is>
          <t>RES-0191</t>
        </is>
      </c>
      <c r="B192" s="6" t="inlineStr">
        <is>
          <t>TR-08</t>
        </is>
      </c>
      <c r="C192" s="6" t="inlineStr">
        <is>
          <t>docs/tile-board-2026-10/GoKesari_UI_Test_Report_2026-10-09.xlsx</t>
        </is>
      </c>
      <c r="D192" s="6" t="inlineStr">
        <is>
          <t>End-to-end (B)</t>
        </is>
      </c>
      <c r="E192" s="6" t="inlineStr">
        <is>
          <t>20:26</t>
        </is>
      </c>
      <c r="F192" s="6" t="inlineStr">
        <is>
          <t>Shop owner · Orders</t>
        </is>
      </c>
      <c r="G192" s="6" t="inlineStr">
        <is>
          <t>S-02 Reject a new order with a reason</t>
        </is>
      </c>
      <c r="H192" s="6" t="inlineStr">
        <is>
          <t>Status REFUNDED; customer wallet ₹30 → ₹80 (₹50 of ₹50); the server took ~5 s to apply it</t>
        </is>
      </c>
      <c r="I192" s="6" t="inlineStr">
        <is>
          <t>PASS</t>
        </is>
      </c>
    </row>
    <row r="193" ht="27" customHeight="1">
      <c r="A193" s="6" t="inlineStr">
        <is>
          <t>RES-0192</t>
        </is>
      </c>
      <c r="B193" s="6" t="inlineStr">
        <is>
          <t>TR-08</t>
        </is>
      </c>
      <c r="C193" s="6" t="inlineStr">
        <is>
          <t>docs/tile-board-2026-10/GoKesari_UI_Test_Report_2026-10-09.xlsx</t>
        </is>
      </c>
      <c r="D193" s="6" t="inlineStr">
        <is>
          <t>End-to-end (B)</t>
        </is>
      </c>
      <c r="E193" s="6" t="inlineStr">
        <is>
          <t>20:27</t>
        </is>
      </c>
      <c r="F193" s="6" t="inlineStr">
        <is>
          <t>Shop owner · Orders</t>
        </is>
      </c>
      <c r="G193" s="6" t="inlineStr">
        <is>
          <t>S-03 Accept a new order</t>
        </is>
      </c>
      <c r="H193" s="6" t="inlineStr">
        <is>
          <t>status ACCEPTED; on Packing tab: true</t>
        </is>
      </c>
      <c r="I193" s="6" t="inlineStr">
        <is>
          <t>PASS</t>
        </is>
      </c>
    </row>
    <row r="194" ht="27" customHeight="1">
      <c r="A194" s="6" t="inlineStr">
        <is>
          <t>RES-0193</t>
        </is>
      </c>
      <c r="B194" s="6" t="inlineStr">
        <is>
          <t>TR-08</t>
        </is>
      </c>
      <c r="C194" s="6" t="inlineStr">
        <is>
          <t>docs/tile-board-2026-10/GoKesari_UI_Test_Report_2026-10-09.xlsx</t>
        </is>
      </c>
      <c r="D194" s="6" t="inlineStr">
        <is>
          <t>End-to-end (B)</t>
        </is>
      </c>
      <c r="E194" s="6" t="inlineStr">
        <is>
          <t>20:28</t>
        </is>
      </c>
      <c r="F194" s="6" t="inlineStr">
        <is>
          <t>Shop owner · Fulfilment</t>
        </is>
      </c>
      <c r="G194" s="6" t="inlineStr">
        <is>
          <t>S-04 Fulfilment option 1 — shop's own delivery</t>
        </is>
      </c>
      <c r="H194" s="6" t="inlineStr">
        <is>
          <t>after plan: READY; after hand-over: OUT_FOR_DELIVERY</t>
        </is>
      </c>
      <c r="I194" s="6" t="inlineStr">
        <is>
          <t>PASS</t>
        </is>
      </c>
    </row>
    <row r="195" ht="27" customHeight="1">
      <c r="A195" s="6" t="inlineStr">
        <is>
          <t>RES-0194</t>
        </is>
      </c>
      <c r="B195" s="6" t="inlineStr">
        <is>
          <t>TR-08</t>
        </is>
      </c>
      <c r="C195" s="6" t="inlineStr">
        <is>
          <t>docs/tile-board-2026-10/GoKesari_UI_Test_Report_2026-10-09.xlsx</t>
        </is>
      </c>
      <c r="D195" s="6" t="inlineStr">
        <is>
          <t>End-to-end (B)</t>
        </is>
      </c>
      <c r="E195" s="6" t="inlineStr">
        <is>
          <t>20:33</t>
        </is>
      </c>
      <c r="F195" s="6" t="inlineStr">
        <is>
          <t>Customer · Delivery</t>
        </is>
      </c>
      <c r="G195" s="6" t="inlineStr">
        <is>
          <t>C-09 Receive the order with the delivery code (OTP)</t>
        </is>
      </c>
      <c r="H195" s="6" t="inlineStr">
        <is>
          <t>wrong code → still OUT_FOR_DELIVERY; right code → DELIVERED</t>
        </is>
      </c>
      <c r="I195" s="6" t="inlineStr">
        <is>
          <t>PASS</t>
        </is>
      </c>
    </row>
    <row r="196" ht="27" customHeight="1">
      <c r="A196" s="6" t="inlineStr">
        <is>
          <t>RES-0195</t>
        </is>
      </c>
      <c r="B196" s="6" t="inlineStr">
        <is>
          <t>TR-08</t>
        </is>
      </c>
      <c r="C196" s="6" t="inlineStr">
        <is>
          <t>docs/tile-board-2026-10/GoKesari_UI_Test_Report_2026-10-09.xlsx</t>
        </is>
      </c>
      <c r="D196" s="6" t="inlineStr">
        <is>
          <t>End-to-end (B)</t>
        </is>
      </c>
      <c r="E196" s="6" t="inlineStr">
        <is>
          <t>20:30</t>
        </is>
      </c>
      <c r="F196" s="6" t="inlineStr">
        <is>
          <t>Shop owner · Fulfilment</t>
        </is>
      </c>
      <c r="G196" s="6" t="inlineStr">
        <is>
          <t>S-05 Fulfilment option 2 — pickup from the shop (customer's pickup code)</t>
        </is>
      </c>
      <c r="H196" s="6" t="inlineStr">
        <is>
          <t>plan "Pickup from the shop · Fri 9 Oct, 10–11 am"; wrong code → still READY; customer's code → DELIVERED</t>
        </is>
      </c>
      <c r="I196" s="6" t="inlineStr">
        <is>
          <t>PASS</t>
        </is>
      </c>
    </row>
    <row r="197" ht="27" customHeight="1">
      <c r="A197" s="6" t="inlineStr">
        <is>
          <t>RES-0196</t>
        </is>
      </c>
      <c r="B197" s="6" t="inlineStr">
        <is>
          <t>TR-08</t>
        </is>
      </c>
      <c r="C197" s="6" t="inlineStr">
        <is>
          <t>docs/tile-board-2026-10/GoKesari_UI_Test_Report_2026-10-09.xlsx</t>
        </is>
      </c>
      <c r="D197" s="6" t="inlineStr">
        <is>
          <t>End-to-end (B)</t>
        </is>
      </c>
      <c r="E197" s="6" t="inlineStr">
        <is>
          <t>20:31</t>
        </is>
      </c>
      <c r="F197" s="6" t="inlineStr">
        <is>
          <t>Shop owner · Fulfilment</t>
        </is>
      </c>
      <c r="G197" s="6" t="inlineStr">
        <is>
          <t>S-06 Fulfilment option 3 — GoKesari delivery partner</t>
        </is>
      </c>
      <c r="H197" s="6" t="inlineStr">
        <is>
          <t>status READY; plan "GoKesari delivery partner · Sat 10 Oct, 7–8 am"; rider search "No rider search has started for this order yet."</t>
        </is>
      </c>
      <c r="I197" s="6" t="inlineStr">
        <is>
          <t>PASS</t>
        </is>
      </c>
    </row>
    <row r="198" ht="39" customHeight="1">
      <c r="A198" s="6" t="inlineStr">
        <is>
          <t>RES-0197</t>
        </is>
      </c>
      <c r="B198" s="6" t="inlineStr">
        <is>
          <t>TR-08</t>
        </is>
      </c>
      <c r="C198" s="6" t="inlineStr">
        <is>
          <t>docs/tile-board-2026-10/GoKesari_UI_Test_Report_2026-10-09.xlsx</t>
        </is>
      </c>
      <c r="D198" s="6" t="inlineStr">
        <is>
          <t>End-to-end (B)</t>
        </is>
      </c>
      <c r="E198" s="6" t="inlineStr">
        <is>
          <t>20:42</t>
        </is>
      </c>
      <c r="F198" s="6" t="inlineStr">
        <is>
          <t>Shop owner · Registration</t>
        </is>
      </c>
      <c r="G198" s="6" t="inlineStr">
        <is>
          <t>S-01 Register a shop with a referral code</t>
        </is>
      </c>
      <c r="H198" s="6" t="inlineStr">
        <is>
          <t>E2E UI Pass Stationery 504466 registered; owner board: Awaiting approval — KYC pending, with the documents still needed; listed in the operator queue (KYC pending, fee ₹100)</t>
        </is>
      </c>
      <c r="I198" s="6" t="inlineStr">
        <is>
          <t>PASS</t>
        </is>
      </c>
    </row>
    <row r="199" ht="39" customHeight="1">
      <c r="A199" s="6" t="inlineStr">
        <is>
          <t>RES-0198</t>
        </is>
      </c>
      <c r="B199" s="6" t="inlineStr">
        <is>
          <t>TR-08</t>
        </is>
      </c>
      <c r="C199" s="6" t="inlineStr">
        <is>
          <t>docs/tile-board-2026-10/GoKesari_UI_Test_Report_2026-10-09.xlsx</t>
        </is>
      </c>
      <c r="D199" s="6" t="inlineStr">
        <is>
          <t>End-to-end (B)</t>
        </is>
      </c>
      <c r="E199" s="6" t="inlineStr">
        <is>
          <t>20:43</t>
        </is>
      </c>
      <c r="F199" s="6" t="inlineStr">
        <is>
          <t>Shop owner · Wallet</t>
        </is>
      </c>
      <c r="G199" s="6" t="inlineStr">
        <is>
          <t>S-13 Recharge the shop wallet (Cashfree sandbox)</t>
        </is>
      </c>
      <c r="H199" s="6" t="inlineStr">
        <is>
          <t>Not run: the pay step runs in the Sandbox payment GitHub workflow, which GitHub is not starting (billing). Shop wallet page, balance ₹967.20 and history were checked in the navigation test</t>
        </is>
      </c>
      <c r="I199" s="6" t="inlineStr">
        <is>
          <t>NOT RUN</t>
        </is>
      </c>
    </row>
    <row r="200" ht="27" customHeight="1">
      <c r="A200" s="6" t="inlineStr">
        <is>
          <t>RES-0199</t>
        </is>
      </c>
      <c r="B200" s="6" t="inlineStr">
        <is>
          <t>TR-08</t>
        </is>
      </c>
      <c r="C200" s="6" t="inlineStr">
        <is>
          <t>docs/tile-board-2026-10/GoKesari_UI_Test_Report_2026-10-09.xlsx</t>
        </is>
      </c>
      <c r="D200" s="6" t="inlineStr">
        <is>
          <t>End-to-end (B)</t>
        </is>
      </c>
      <c r="E200" s="6" t="inlineStr">
        <is>
          <t>20:45</t>
        </is>
      </c>
      <c r="F200" s="6" t="inlineStr">
        <is>
          <t>Customer · Mobile app</t>
        </is>
      </c>
      <c r="G200" s="6" t="inlineStr">
        <is>
          <t>D-APP-Customer Customer home in the app (360×728, app user-agent, EN/हिं/मरा)</t>
        </is>
      </c>
      <c r="H200" s="6" t="inlineStr">
        <is>
          <t>en: board bottom 722px, errors 0; hi: board bottom 722px, Devanagari true, errors 0; mr: board bottom 722px, Devanagari true, errors 0</t>
        </is>
      </c>
      <c r="I200" s="6" t="inlineStr">
        <is>
          <t>PASS</t>
        </is>
      </c>
    </row>
    <row r="201" ht="27" customHeight="1">
      <c r="A201" s="6" t="inlineStr">
        <is>
          <t>RES-0200</t>
        </is>
      </c>
      <c r="B201" s="6" t="inlineStr">
        <is>
          <t>TR-08</t>
        </is>
      </c>
      <c r="C201" s="6" t="inlineStr">
        <is>
          <t>docs/tile-board-2026-10/GoKesari_UI_Test_Report_2026-10-09.xlsx</t>
        </is>
      </c>
      <c r="D201" s="6" t="inlineStr">
        <is>
          <t>End-to-end (B)</t>
        </is>
      </c>
      <c r="E201" s="6" t="inlineStr">
        <is>
          <t>20:46</t>
        </is>
      </c>
      <c r="F201" s="6" t="inlineStr">
        <is>
          <t>Shop owner · Mobile app</t>
        </is>
      </c>
      <c r="G201" s="6" t="inlineStr">
        <is>
          <t>D-APP-Shopowner Shop owner home in the app (360×728, app user-agent, EN/हिं/मरा)</t>
        </is>
      </c>
      <c r="H201" s="6" t="inlineStr">
        <is>
          <t>en: board bottom 721px, errors 0; hi: board bottom 721px, Devanagari true, errors 0; mr: board bottom 721px, Devanagari true, errors 0</t>
        </is>
      </c>
      <c r="I201" s="6" t="inlineStr">
        <is>
          <t>PASS</t>
        </is>
      </c>
    </row>
    <row r="202" ht="27" customHeight="1">
      <c r="A202" s="6" t="inlineStr">
        <is>
          <t>RES-0201</t>
        </is>
      </c>
      <c r="B202" s="6" t="inlineStr">
        <is>
          <t>TR-08</t>
        </is>
      </c>
      <c r="C202" s="6" t="inlineStr">
        <is>
          <t>docs/tile-board-2026-10/GoKesari_UI_Test_Report_2026-10-09.xlsx</t>
        </is>
      </c>
      <c r="D202" s="6" t="inlineStr">
        <is>
          <t>End-to-end (B)</t>
        </is>
      </c>
      <c r="E202" s="6" t="inlineStr">
        <is>
          <t>20:46</t>
        </is>
      </c>
      <c r="F202" s="6" t="inlineStr">
        <is>
          <t>Admin · Mobile app</t>
        </is>
      </c>
      <c r="G202" s="6" t="inlineStr">
        <is>
          <t>D-APP-Admin Admin home in the app (360×728, app user-agent, EN/हिं/मरा)</t>
        </is>
      </c>
      <c r="H202" s="6" t="inlineStr">
        <is>
          <t>en: board bottom 719px, errors 0; hi: board bottom 719px, Devanagari true, errors 0; mr: board bottom 719px, Devanagari true, errors 0</t>
        </is>
      </c>
      <c r="I202" s="6" t="inlineStr">
        <is>
          <t>PASS</t>
        </is>
      </c>
    </row>
    <row r="203" ht="27" customHeight="1">
      <c r="A203" s="6" t="inlineStr">
        <is>
          <t>RES-0202</t>
        </is>
      </c>
      <c r="B203" s="6" t="inlineStr">
        <is>
          <t>TR-08</t>
        </is>
      </c>
      <c r="C203" s="6" t="inlineStr">
        <is>
          <t>docs/tile-board-2026-10/GoKesari_UI_Test_Report_2026-10-09.xlsx</t>
        </is>
      </c>
      <c r="D203" s="6" t="inlineStr">
        <is>
          <t>End-to-end (B)</t>
        </is>
      </c>
      <c r="E203" s="6" t="inlineStr">
        <is>
          <t>20:46</t>
        </is>
      </c>
      <c r="F203" s="6" t="inlineStr">
        <is>
          <t>Operator · Mobile app</t>
        </is>
      </c>
      <c r="G203" s="6" t="inlineStr">
        <is>
          <t>D-APP-Operator Operator home in the app (360×728, app user-agent, EN/हिं/मरा)</t>
        </is>
      </c>
      <c r="H203" s="6" t="inlineStr">
        <is>
          <t>en: board bottom 719px, errors 0; hi: board bottom 719px, Devanagari true, errors 0; mr: board bottom 719px, Devanagari true, errors 0</t>
        </is>
      </c>
      <c r="I203" s="6" t="inlineStr">
        <is>
          <t>PASS</t>
        </is>
      </c>
    </row>
    <row r="204" ht="27" customHeight="1">
      <c r="A204" s="6" t="inlineStr">
        <is>
          <t>RES-0203</t>
        </is>
      </c>
      <c r="B204" s="6" t="inlineStr">
        <is>
          <t>TR-08</t>
        </is>
      </c>
      <c r="C204" s="6" t="inlineStr">
        <is>
          <t>docs/tile-board-2026-10/GoKesari_UI_Test_Report_2026-10-09.xlsx</t>
        </is>
      </c>
      <c r="D204" s="6" t="inlineStr">
        <is>
          <t>End-to-end (B)</t>
        </is>
      </c>
      <c r="E204" s="6" t="inlineStr">
        <is>
          <t>20:47</t>
        </is>
      </c>
      <c r="F204" s="6" t="inlineStr">
        <is>
          <t>Customer · Slow network</t>
        </is>
      </c>
      <c r="G204" s="6" t="inlineStr">
        <is>
          <t>D-NET-Customer-_ / on slow 4G (150 ms, 1.6 Mbps down)</t>
        </is>
      </c>
      <c r="H204" s="6" t="inlineStr">
        <is>
          <t>usable after 3.8 s, fully loaded 3.9 s</t>
        </is>
      </c>
      <c r="I204" s="6" t="inlineStr">
        <is>
          <t>FAIL</t>
        </is>
      </c>
    </row>
    <row r="205" ht="27" customHeight="1">
      <c r="A205" s="6" t="inlineStr">
        <is>
          <t>RES-0204</t>
        </is>
      </c>
      <c r="B205" s="6" t="inlineStr">
        <is>
          <t>TR-08</t>
        </is>
      </c>
      <c r="C205" s="6" t="inlineStr">
        <is>
          <t>docs/tile-board-2026-10/GoKesari_UI_Test_Report_2026-10-09.xlsx</t>
        </is>
      </c>
      <c r="D205" s="6" t="inlineStr">
        <is>
          <t>End-to-end (B)</t>
        </is>
      </c>
      <c r="E205" s="6" t="inlineStr">
        <is>
          <t>20:47</t>
        </is>
      </c>
      <c r="F205" s="6" t="inlineStr">
        <is>
          <t>Customer · Slow network</t>
        </is>
      </c>
      <c r="G205" s="6" t="inlineStr">
        <is>
          <t>D-NET-Customer-_orders /orders on slow 4G (150 ms, 1.6 Mbps down)</t>
        </is>
      </c>
      <c r="H205" s="6" t="inlineStr">
        <is>
          <t>usable after 2.8 s, fully loaded 3.0 s</t>
        </is>
      </c>
      <c r="I205" s="6" t="inlineStr">
        <is>
          <t>PASS</t>
        </is>
      </c>
    </row>
    <row r="206" ht="27" customHeight="1">
      <c r="A206" s="6" t="inlineStr">
        <is>
          <t>RES-0205</t>
        </is>
      </c>
      <c r="B206" s="6" t="inlineStr">
        <is>
          <t>TR-08</t>
        </is>
      </c>
      <c r="C206" s="6" t="inlineStr">
        <is>
          <t>docs/tile-board-2026-10/GoKesari_UI_Test_Report_2026-10-09.xlsx</t>
        </is>
      </c>
      <c r="D206" s="6" t="inlineStr">
        <is>
          <t>End-to-end (B)</t>
        </is>
      </c>
      <c r="E206" s="6" t="inlineStr">
        <is>
          <t>20:47</t>
        </is>
      </c>
      <c r="F206" s="6" t="inlineStr">
        <is>
          <t>Shop owner · Slow network</t>
        </is>
      </c>
      <c r="G206" s="6" t="inlineStr">
        <is>
          <t>D-NET-Shopowner-_shop /shop on slow 4G (150 ms, 1.6 Mbps down)</t>
        </is>
      </c>
      <c r="H206" s="6" t="inlineStr">
        <is>
          <t>usable after 3.7 s, fully loaded 4.0 s</t>
        </is>
      </c>
      <c r="I206" s="6" t="inlineStr">
        <is>
          <t>FAIL</t>
        </is>
      </c>
    </row>
    <row r="207" ht="27" customHeight="1">
      <c r="A207" s="6" t="inlineStr">
        <is>
          <t>RES-0206</t>
        </is>
      </c>
      <c r="B207" s="6" t="inlineStr">
        <is>
          <t>TR-08</t>
        </is>
      </c>
      <c r="C207" s="6" t="inlineStr">
        <is>
          <t>docs/tile-board-2026-10/GoKesari_UI_Test_Report_2026-10-09.xlsx</t>
        </is>
      </c>
      <c r="D207" s="6" t="inlineStr">
        <is>
          <t>End-to-end (B)</t>
        </is>
      </c>
      <c r="E207" s="6" t="inlineStr">
        <is>
          <t>20:48</t>
        </is>
      </c>
      <c r="F207" s="6" t="inlineStr">
        <is>
          <t>Shop owner · Slow network</t>
        </is>
      </c>
      <c r="G207" s="6" t="inlineStr">
        <is>
          <t>D-NET-Shopowner-_shop_orders /shop/orders on slow 4G (150 ms, 1.6 Mbps down)</t>
        </is>
      </c>
      <c r="H207" s="6" t="inlineStr">
        <is>
          <t>usable after 5.0 s, fully loaded 5.1 s</t>
        </is>
      </c>
      <c r="I207" s="6" t="inlineStr">
        <is>
          <t>FAIL</t>
        </is>
      </c>
    </row>
    <row r="208" ht="27" customHeight="1">
      <c r="A208" s="6" t="inlineStr">
        <is>
          <t>RES-0207</t>
        </is>
      </c>
      <c r="B208" s="6" t="inlineStr">
        <is>
          <t>TR-08</t>
        </is>
      </c>
      <c r="C208" s="6" t="inlineStr">
        <is>
          <t>docs/tile-board-2026-10/GoKesari_UI_Test_Report_2026-10-09.xlsx</t>
        </is>
      </c>
      <c r="D208" s="6" t="inlineStr">
        <is>
          <t>End-to-end (B)</t>
        </is>
      </c>
      <c r="E208" s="6" t="inlineStr">
        <is>
          <t>20:48</t>
        </is>
      </c>
      <c r="F208" s="6" t="inlineStr">
        <is>
          <t>Admin · Slow network</t>
        </is>
      </c>
      <c r="G208" s="6" t="inlineStr">
        <is>
          <t>D-NET-Admin-_admin /admin on slow 4G (150 ms, 1.6 Mbps down)</t>
        </is>
      </c>
      <c r="H208" s="6" t="inlineStr">
        <is>
          <t>usable after 3.6 s, fully loaded 3.8 s</t>
        </is>
      </c>
      <c r="I208" s="6" t="inlineStr">
        <is>
          <t>FAIL</t>
        </is>
      </c>
    </row>
    <row r="209" ht="27" customHeight="1">
      <c r="A209" s="6" t="inlineStr">
        <is>
          <t>RES-0208</t>
        </is>
      </c>
      <c r="B209" s="6" t="inlineStr">
        <is>
          <t>TR-08</t>
        </is>
      </c>
      <c r="C209" s="6" t="inlineStr">
        <is>
          <t>docs/tile-board-2026-10/GoKesari_UI_Test_Report_2026-10-09.xlsx</t>
        </is>
      </c>
      <c r="D209" s="6" t="inlineStr">
        <is>
          <t>End-to-end (B)</t>
        </is>
      </c>
      <c r="E209" s="6" t="inlineStr">
        <is>
          <t>20:48</t>
        </is>
      </c>
      <c r="F209" s="6" t="inlineStr">
        <is>
          <t>Operator · Slow network</t>
        </is>
      </c>
      <c r="G209" s="6" t="inlineStr">
        <is>
          <t>D-NET-Operator-_admin /admin on slow 4G (150 ms, 1.6 Mbps down)</t>
        </is>
      </c>
      <c r="H209" s="6" t="inlineStr">
        <is>
          <t>usable after 3.6 s, fully loaded 4.0 s</t>
        </is>
      </c>
      <c r="I209" s="6" t="inlineStr">
        <is>
          <t>FAIL</t>
        </is>
      </c>
    </row>
    <row r="210" ht="27" customHeight="1">
      <c r="A210" s="6" t="inlineStr">
        <is>
          <t>RES-0209</t>
        </is>
      </c>
      <c r="B210" s="6" t="inlineStr">
        <is>
          <t>TR-09</t>
        </is>
      </c>
      <c r="C210" s="6" t="inlineStr">
        <is>
          <t>docs/tile-board-2026-10/TEST_RESULTS_UI_PASS.md</t>
        </is>
      </c>
      <c r="D210" s="6" t="inlineStr">
        <is>
          <t>Production (gokesari.com) after release #126, 9 Oct 21:44 UTC</t>
        </is>
      </c>
      <c r="E210" s="6" t="inlineStr"/>
      <c r="F210" s="6" t="inlineStr"/>
      <c r="G210" s="6" t="inlineStr">
        <is>
          <t>Pages load: /, /shops, /categories, /signin, /search?q=milk, /legal/terms</t>
        </is>
      </c>
      <c r="H210" s="6" t="inlineStr">
        <is>
          <t>200 (0.39–1.24 s) — PASS</t>
        </is>
      </c>
      <c r="I210" s="6" t="inlineStr">
        <is>
          <t>PASS</t>
        </is>
      </c>
    </row>
    <row r="211" ht="27" customHeight="1">
      <c r="A211" s="6" t="inlineStr">
        <is>
          <t>RES-0210</t>
        </is>
      </c>
      <c r="B211" s="6" t="inlineStr">
        <is>
          <t>TR-09</t>
        </is>
      </c>
      <c r="C211" s="6" t="inlineStr">
        <is>
          <t>docs/tile-board-2026-10/TEST_RESULTS_UI_PASS.md</t>
        </is>
      </c>
      <c r="D211" s="6" t="inlineStr">
        <is>
          <t>Production (gokesari.com) after release #126, 9 Oct 21:44 UTC</t>
        </is>
      </c>
      <c r="E211" s="6" t="inlineStr"/>
      <c r="F211" s="6" t="inlineStr"/>
      <c r="G211" s="6" t="inlineStr">
        <is>
          <t>Signed-in pages without a sign-in: /admin, /shop, /profile, /orders</t>
        </is>
      </c>
      <c r="H211" s="6" t="inlineStr">
        <is>
          <t>307 to /signin — PASS</t>
        </is>
      </c>
      <c r="I211" s="6" t="inlineStr">
        <is>
          <t>PASS</t>
        </is>
      </c>
    </row>
    <row r="212" ht="27" customHeight="1">
      <c r="A212" s="6" t="inlineStr">
        <is>
          <t>RES-0211</t>
        </is>
      </c>
      <c r="B212" s="6" t="inlineStr">
        <is>
          <t>TR-09</t>
        </is>
      </c>
      <c r="C212" s="6" t="inlineStr">
        <is>
          <t>docs/tile-board-2026-10/TEST_RESULTS_UI_PASS.md</t>
        </is>
      </c>
      <c r="D212" s="6" t="inlineStr">
        <is>
          <t>Production (gokesari.com) after release #126, 9 Oct 21:44 UTC</t>
        </is>
      </c>
      <c r="E212" s="6" t="inlineStr"/>
      <c r="F212" s="6" t="inlineStr"/>
      <c r="G212" s="6" t="inlineStr">
        <is>
          <t>New build live (“Shop list” heading on /shops)</t>
        </is>
      </c>
      <c r="H212" s="6" t="inlineStr">
        <is>
          <t>yes, 21:44:41 UTC — PASS</t>
        </is>
      </c>
      <c r="I212" s="6" t="inlineStr">
        <is>
          <t>PASS</t>
        </is>
      </c>
    </row>
    <row r="213" ht="27" customHeight="1">
      <c r="A213" s="6" t="inlineStr">
        <is>
          <t>RES-0212</t>
        </is>
      </c>
      <c r="B213" s="6" t="inlineStr">
        <is>
          <t>TR-09</t>
        </is>
      </c>
      <c r="C213" s="6" t="inlineStr">
        <is>
          <t>docs/tile-board-2026-10/TEST_RESULTS_UI_PASS.md</t>
        </is>
      </c>
      <c r="D213" s="6" t="inlineStr">
        <is>
          <t>Production (gokesari.com) after release #126, 9 Oct 21:44 UTC</t>
        </is>
      </c>
      <c r="E213" s="6" t="inlineStr"/>
      <c r="F213" s="6" t="inlineStr"/>
      <c r="G213" s="6" t="inlineStr">
        <is>
          <t>Lighthouse mobile (perf / a11y / best practices / SEO)</t>
        </is>
      </c>
      <c r="H213" s="6" t="inlineStr">
        <is>
          <t>home 93/100/100/100 (cold first visit, server 3.7 s); shops 98; categories 99; search 93 (cold, server 4.1 s); sign-in 100</t>
        </is>
      </c>
      <c r="I213" s="6" t="inlineStr">
        <is>
          <t>OK (recorded)</t>
        </is>
      </c>
    </row>
    <row r="214" ht="27" customHeight="1">
      <c r="A214" s="6" t="inlineStr">
        <is>
          <t>RES-0213</t>
        </is>
      </c>
      <c r="B214" s="6" t="inlineStr">
        <is>
          <t>TR-09</t>
        </is>
      </c>
      <c r="C214" s="6" t="inlineStr">
        <is>
          <t>docs/tile-board-2026-10/TEST_RESULTS_UI_PASS.md</t>
        </is>
      </c>
      <c r="D214" s="6" t="inlineStr">
        <is>
          <t>Production (gokesari.com) after release #126, 9 Oct 21:44 UTC</t>
        </is>
      </c>
      <c r="E214" s="6" t="inlineStr"/>
      <c r="F214" s="6" t="inlineStr"/>
      <c r="G214" s="6" t="inlineStr">
        <is>
          <t>Lighthouse desktop</t>
        </is>
      </c>
      <c r="H214" s="6" t="inlineStr">
        <is>
          <t>home 92 (cold, server 4.0 s); shops 100</t>
        </is>
      </c>
      <c r="I214" s="6" t="inlineStr">
        <is>
          <t>OK (recorded)</t>
        </is>
      </c>
    </row>
    <row r="215" ht="27" customHeight="1">
      <c r="A215" s="6" t="inlineStr">
        <is>
          <t>RES-0214</t>
        </is>
      </c>
      <c r="B215" s="6" t="inlineStr">
        <is>
          <t>TR-09</t>
        </is>
      </c>
      <c r="C215" s="6" t="inlineStr">
        <is>
          <t>docs/tile-board-2026-10/TEST_RESULTS_UI_PASS.md</t>
        </is>
      </c>
      <c r="D215" s="6" t="inlineStr">
        <is>
          <t>Production (gokesari.com) after release #126, 9 Oct 21:44 UTC</t>
        </is>
      </c>
      <c r="E215" s="6" t="inlineStr"/>
      <c r="F215" s="6" t="inlineStr"/>
      <c r="G215" s="6" t="inlineStr">
        <is>
          <t>Home and search, warm repeat visits (5 each)</t>
        </is>
      </c>
      <c r="H215" s="6" t="inlineStr">
        <is>
          <t>0.9–1.3 s to first byte</t>
        </is>
      </c>
      <c r="I215" s="6" t="inlineStr">
        <is>
          <t>OK (recorded)</t>
        </is>
      </c>
    </row>
    <row r="216" ht="27" customHeight="1">
      <c r="A216" s="6" t="inlineStr">
        <is>
          <t>RES-0215</t>
        </is>
      </c>
      <c r="B216" s="6" t="inlineStr">
        <is>
          <t>TR-10</t>
        </is>
      </c>
      <c r="C216" s="6" t="inlineStr">
        <is>
          <t>docs/nearby-referral-2026-10/TEST_RESULTS.md</t>
        </is>
      </c>
      <c r="D216" s="6" t="inlineStr">
        <is>
          <t>1. Summary</t>
        </is>
      </c>
      <c r="E216" s="6" t="inlineStr"/>
      <c r="F216" s="6" t="inlineStr">
        <is>
          <t>F1 Nearby — permission allowed</t>
        </is>
      </c>
      <c r="G216" s="6" t="inlineStr"/>
      <c r="H216" s="6" t="inlineStr">
        <is>
          <t>Pass — Android, iPhone, desktop: "kharadi, Pune 411014 · accurate to about 15 m", shops nearest first</t>
        </is>
      </c>
      <c r="I216" s="6" t="inlineStr">
        <is>
          <t>PASS</t>
        </is>
      </c>
    </row>
    <row r="217" ht="27" customHeight="1">
      <c r="A217" s="6" t="inlineStr">
        <is>
          <t>RES-0216</t>
        </is>
      </c>
      <c r="B217" s="6" t="inlineStr">
        <is>
          <t>TR-10</t>
        </is>
      </c>
      <c r="C217" s="6" t="inlineStr">
        <is>
          <t>docs/nearby-referral-2026-10/TEST_RESULTS.md</t>
        </is>
      </c>
      <c r="D217" s="6" t="inlineStr">
        <is>
          <t>1. Summary</t>
        </is>
      </c>
      <c r="E217" s="6" t="inlineStr"/>
      <c r="F217" s="6" t="inlineStr">
        <is>
          <t>F1 — each radius (1 / 3 / 5 / 10 km)</t>
        </is>
      </c>
      <c r="G217" s="6" t="inlineStr"/>
      <c r="H217" s="6" t="inlineStr">
        <is>
          <t>Pass — 2 / 4 / 4 / 6 shops, counts on the chips match</t>
        </is>
      </c>
      <c r="I217" s="6" t="inlineStr">
        <is>
          <t>PASS</t>
        </is>
      </c>
    </row>
    <row r="218" ht="27" customHeight="1">
      <c r="A218" s="6" t="inlineStr">
        <is>
          <t>RES-0217</t>
        </is>
      </c>
      <c r="B218" s="6" t="inlineStr">
        <is>
          <t>TR-10</t>
        </is>
      </c>
      <c r="C218" s="6" t="inlineStr">
        <is>
          <t>docs/nearby-referral-2026-10/TEST_RESULTS.md</t>
        </is>
      </c>
      <c r="D218" s="6" t="inlineStr">
        <is>
          <t>1. Summary</t>
        </is>
      </c>
      <c r="E218" s="6" t="inlineStr"/>
      <c r="F218" s="6" t="inlineStr">
        <is>
          <t>F1 — distance text</t>
        </is>
      </c>
      <c r="G218" s="6" t="inlineStr"/>
      <c r="H218" s="6" t="inlineStr">
        <is>
          <t>Pass — 540 m, 830 m, 1.7 km, 2.2 km, 6.1 km, 8.9 km</t>
        </is>
      </c>
      <c r="I218" s="6" t="inlineStr">
        <is>
          <t>PASS</t>
        </is>
      </c>
    </row>
    <row r="219" ht="27" customHeight="1">
      <c r="A219" s="6" t="inlineStr">
        <is>
          <t>RES-0218</t>
        </is>
      </c>
      <c r="B219" s="6" t="inlineStr">
        <is>
          <t>TR-10</t>
        </is>
      </c>
      <c r="C219" s="6" t="inlineStr">
        <is>
          <t>docs/nearby-referral-2026-10/TEST_RESULTS.md</t>
        </is>
      </c>
      <c r="D219" s="6" t="inlineStr">
        <is>
          <t>1. Summary</t>
        </is>
      </c>
      <c r="E219" s="6" t="inlineStr"/>
      <c r="F219" s="6" t="inlineStr">
        <is>
          <t>F1 — distance accuracy (6 shops)</t>
        </is>
      </c>
      <c r="G219" s="6" t="inlineStr"/>
      <c r="H219" s="6" t="inlineStr">
        <is>
          <t>Pass — within 0.1–28 m (≤ 0.5 %) of an independent WGS-84 geodesic (§3)</t>
        </is>
      </c>
      <c r="I219" s="6" t="inlineStr">
        <is>
          <t>PASS</t>
        </is>
      </c>
    </row>
    <row r="220" ht="27" customHeight="1">
      <c r="A220" s="6" t="inlineStr">
        <is>
          <t>RES-0219</t>
        </is>
      </c>
      <c r="B220" s="6" t="inlineStr">
        <is>
          <t>TR-10</t>
        </is>
      </c>
      <c r="C220" s="6" t="inlineStr">
        <is>
          <t>docs/nearby-referral-2026-10/TEST_RESULTS.md</t>
        </is>
      </c>
      <c r="D220" s="6" t="inlineStr">
        <is>
          <t>1. Summary</t>
        </is>
      </c>
      <c r="E220" s="6" t="inlineStr"/>
      <c r="F220" s="6" t="inlineStr">
        <is>
          <t>F1 — open / closed</t>
        </is>
      </c>
      <c r="G220" s="6" t="inlineStr"/>
      <c r="H220" s="6" t="inlineStr">
        <is>
          <t>Pass — "Closed" shown for every test shop (opening hours, evening IST)</t>
        </is>
      </c>
      <c r="I220" s="6" t="inlineStr">
        <is>
          <t>PASS</t>
        </is>
      </c>
    </row>
    <row r="221" ht="27" customHeight="1">
      <c r="A221" s="6" t="inlineStr">
        <is>
          <t>RES-0220</t>
        </is>
      </c>
      <c r="B221" s="6" t="inlineStr">
        <is>
          <t>TR-10</t>
        </is>
      </c>
      <c r="C221" s="6" t="inlineStr">
        <is>
          <t>docs/nearby-referral-2026-10/TEST_RESULTS.md</t>
        </is>
      </c>
      <c r="D221" s="6" t="inlineStr">
        <is>
          <t>1. Summary</t>
        </is>
      </c>
      <c r="E221" s="6" t="inlineStr"/>
      <c r="F221" s="6" t="inlineStr">
        <is>
          <t>F1 — Directions (desktop and phones)</t>
        </is>
      </c>
      <c r="G221" s="6" t="inlineStr"/>
      <c r="H221" s="6" t="inlineStr">
        <is>
          <t>Pass — https://www.google.com/maps/dir/?api=1&amp;origin=18.5515%2C73.9348&amp;destination=…, new tab; see note N-3</t>
        </is>
      </c>
      <c r="I221" s="6" t="inlineStr">
        <is>
          <t>PASS</t>
        </is>
      </c>
    </row>
    <row r="222" ht="39" customHeight="1">
      <c r="A222" s="6" t="inlineStr">
        <is>
          <t>RES-0221</t>
        </is>
      </c>
      <c r="B222" s="6" t="inlineStr">
        <is>
          <t>TR-10</t>
        </is>
      </c>
      <c r="C222" s="6" t="inlineStr">
        <is>
          <t>docs/nearby-referral-2026-10/TEST_RESULTS.md</t>
        </is>
      </c>
      <c r="D222" s="6" t="inlineStr">
        <is>
          <t>1. Summary</t>
        </is>
      </c>
      <c r="E222" s="6" t="inlineStr"/>
      <c r="F222" s="6" t="inlineStr">
        <is>
          <t>F1 — Map view</t>
        </is>
      </c>
      <c r="G222" s="6" t="inlineStr"/>
      <c r="H222" s="6" t="inlineStr">
        <is>
          <t>Pass — Google map (browser key works on test), blue "You are here" dot, radius ring, 6 shop pins; tapping a pin opens name, "540 m away · Closed", Directions (phone and desktop)</t>
        </is>
      </c>
      <c r="I222" s="6" t="inlineStr">
        <is>
          <t>PASS</t>
        </is>
      </c>
    </row>
    <row r="223" ht="27" customHeight="1">
      <c r="A223" s="6" t="inlineStr">
        <is>
          <t>RES-0222</t>
        </is>
      </c>
      <c r="B223" s="6" t="inlineStr">
        <is>
          <t>TR-10</t>
        </is>
      </c>
      <c r="C223" s="6" t="inlineStr">
        <is>
          <t>docs/nearby-referral-2026-10/TEST_RESULTS.md</t>
        </is>
      </c>
      <c r="D223" s="6" t="inlineStr">
        <is>
          <t>1. Summary</t>
        </is>
      </c>
      <c r="E223" s="6" t="inlineStr"/>
      <c r="F223" s="6" t="inlineStr">
        <is>
          <t>F1 — permission denied</t>
        </is>
      </c>
      <c r="G223" s="6" t="inlineStr"/>
      <c r="H223" s="6" t="inlineStr">
        <is>
          <t>Pass — "Location permission is off … enter a PIN code or area below" + PIN box</t>
        </is>
      </c>
      <c r="I223" s="6" t="inlineStr">
        <is>
          <t>PASS</t>
        </is>
      </c>
    </row>
    <row r="224" ht="27" customHeight="1">
      <c r="A224" s="6" t="inlineStr">
        <is>
          <t>RES-0223</t>
        </is>
      </c>
      <c r="B224" s="6" t="inlineStr">
        <is>
          <t>TR-10</t>
        </is>
      </c>
      <c r="C224" s="6" t="inlineStr">
        <is>
          <t>docs/nearby-referral-2026-10/TEST_RESULTS.md</t>
        </is>
      </c>
      <c r="D224" s="6" t="inlineStr">
        <is>
          <t>1. Summary</t>
        </is>
      </c>
      <c r="E224" s="6" t="inlineStr"/>
      <c r="F224" s="6" t="inlineStr">
        <is>
          <t>F1 — manual PIN / area</t>
        </is>
      </c>
      <c r="G224" s="6" t="inlineStr"/>
      <c r="H224" s="6" t="inlineStr">
        <is>
          <t>Pass — 411014 → 4 shops (380 m …); "Kharadi" → same place; 999999 → "We couldn't find that PIN code or area…"</t>
        </is>
      </c>
      <c r="I224" s="6" t="inlineStr">
        <is>
          <t>PASS</t>
        </is>
      </c>
    </row>
    <row r="225" ht="39" customHeight="1">
      <c r="A225" s="6" t="inlineStr">
        <is>
          <t>RES-0224</t>
        </is>
      </c>
      <c r="B225" s="6" t="inlineStr">
        <is>
          <t>TR-10</t>
        </is>
      </c>
      <c r="C225" s="6" t="inlineStr">
        <is>
          <t>docs/nearby-referral-2026-10/TEST_RESULTS.md</t>
        </is>
      </c>
      <c r="D225" s="6" t="inlineStr">
        <is>
          <t>1. Summary</t>
        </is>
      </c>
      <c r="E225" s="6" t="inlineStr"/>
      <c r="F225" s="6" t="inlineStr">
        <is>
          <t>F1 — no shops in range</t>
        </is>
      </c>
      <c r="G225" s="6" t="inlineStr"/>
      <c r="H225" s="6" t="inlineStr">
        <is>
          <t>Pass — 3 km: "No shops found within 3 km · 1 shop within 5 km · Widen to 5 km" → EcoMed 4.0 km; Nagpur: "No shops found within 5 km · none within 10 km either · See all shops"</t>
        </is>
      </c>
      <c r="I225" s="6" t="inlineStr">
        <is>
          <t>PASS</t>
        </is>
      </c>
    </row>
    <row r="226" ht="27" customHeight="1">
      <c r="A226" s="6" t="inlineStr">
        <is>
          <t>RES-0225</t>
        </is>
      </c>
      <c r="B226" s="6" t="inlineStr">
        <is>
          <t>TR-10</t>
        </is>
      </c>
      <c r="C226" s="6" t="inlineStr">
        <is>
          <t>docs/nearby-referral-2026-10/TEST_RESULTS.md</t>
        </is>
      </c>
      <c r="D226" s="6" t="inlineStr">
        <is>
          <t>1. Summary</t>
        </is>
      </c>
      <c r="E226" s="6" t="inlineStr"/>
      <c r="F226" s="6" t="inlineStr">
        <is>
          <t>F1 — prompt never answered</t>
        </is>
      </c>
      <c r="G226" s="6" t="inlineStr"/>
      <c r="H226" s="6" t="inlineStr">
        <is>
          <t>Fixed (S-1) — waited forever; now offers the PIN box after 12 s</t>
        </is>
      </c>
      <c r="I226" s="6" t="inlineStr">
        <is>
          <t>PASS</t>
        </is>
      </c>
    </row>
    <row r="227" ht="51" customHeight="1">
      <c r="A227" s="6" t="inlineStr">
        <is>
          <t>RES-0226</t>
        </is>
      </c>
      <c r="B227" s="6" t="inlineStr">
        <is>
          <t>TR-10</t>
        </is>
      </c>
      <c r="C227" s="6" t="inlineStr">
        <is>
          <t>docs/nearby-referral-2026-10/TEST_RESULTS.md</t>
        </is>
      </c>
      <c r="D227" s="6" t="inlineStr">
        <is>
          <t>1. Summary</t>
        </is>
      </c>
      <c r="E227" s="6" t="inlineStr"/>
      <c r="F227" s="6" t="inlineStr">
        <is>
          <t>F1 — shops without coordinates</t>
        </is>
      </c>
      <c r="G227" s="6" t="inlineStr"/>
      <c r="H227" s="6" t="inlineStr">
        <is>
          <t>Pass — left out of Nearby; Admin → Shops without location lists 9 (operator 200, customer and shop owner sent home), CSV download; coordinates pasted for 4 shops → saved, report drops them, they appear in Nearby; bad input refused</t>
        </is>
      </c>
      <c r="I227" s="6" t="inlineStr">
        <is>
          <t>PASS</t>
        </is>
      </c>
    </row>
    <row r="228" ht="27" customHeight="1">
      <c r="A228" s="6" t="inlineStr">
        <is>
          <t>RES-0227</t>
        </is>
      </c>
      <c r="B228" s="6" t="inlineStr">
        <is>
          <t>TR-10</t>
        </is>
      </c>
      <c r="C228" s="6" t="inlineStr">
        <is>
          <t>docs/nearby-referral-2026-10/TEST_RESULTS.md</t>
        </is>
      </c>
      <c r="D228" s="6" t="inlineStr">
        <is>
          <t>1. Summary</t>
        </is>
      </c>
      <c r="E228" s="6" t="inlineStr"/>
      <c r="F228" s="6" t="inlineStr">
        <is>
          <t>F1 — backfill from address</t>
        </is>
      </c>
      <c r="G228" s="6" t="inlineStr"/>
      <c r="H228" s="6" t="inlineStr">
        <is>
          <t>Blocked on test by the key (N-1): Google refuses the server key; nothing written, every shop told why</t>
        </is>
      </c>
      <c r="I228" s="6" t="inlineStr">
        <is>
          <t>BLOCKED</t>
        </is>
      </c>
    </row>
    <row r="229" ht="27" customHeight="1">
      <c r="A229" s="6" t="inlineStr">
        <is>
          <t>RES-0228</t>
        </is>
      </c>
      <c r="B229" s="6" t="inlineStr">
        <is>
          <t>TR-10</t>
        </is>
      </c>
      <c r="C229" s="6" t="inlineStr">
        <is>
          <t>docs/nearby-referral-2026-10/TEST_RESULTS.md</t>
        </is>
      </c>
      <c r="D229" s="6" t="inlineStr">
        <is>
          <t>1. Summary</t>
        </is>
      </c>
      <c r="E229" s="6" t="inlineStr"/>
      <c r="F229" s="6" t="inlineStr">
        <is>
          <t>F1 — home board</t>
        </is>
      </c>
      <c r="G229" s="6" t="inlineStr"/>
      <c r="H229" s="6" t="inlineStr">
        <is>
          <t>Pass — the "Nearby" chip links to /shops/nearby</t>
        </is>
      </c>
      <c r="I229" s="6" t="inlineStr">
        <is>
          <t>PASS</t>
        </is>
      </c>
    </row>
    <row r="230" ht="27" customHeight="1">
      <c r="A230" s="6" t="inlineStr">
        <is>
          <t>RES-0229</t>
        </is>
      </c>
      <c r="B230" s="6" t="inlineStr">
        <is>
          <t>TR-10</t>
        </is>
      </c>
      <c r="C230" s="6" t="inlineStr">
        <is>
          <t>docs/nearby-referral-2026-10/TEST_RESULTS.md</t>
        </is>
      </c>
      <c r="D230" s="6" t="inlineStr">
        <is>
          <t>1. Summary</t>
        </is>
      </c>
      <c r="E230" s="6" t="inlineStr"/>
      <c r="F230" s="6" t="inlineStr">
        <is>
          <t>F1 — page errors</t>
        </is>
      </c>
      <c r="G230" s="6" t="inlineStr"/>
      <c r="H230" s="6" t="inlineStr">
        <is>
          <t>Pass — 0 JavaScript errors across all Nearby runs</t>
        </is>
      </c>
      <c r="I230" s="6" t="inlineStr">
        <is>
          <t>PASS</t>
        </is>
      </c>
    </row>
    <row r="231" ht="27" customHeight="1">
      <c r="A231" s="6" t="inlineStr">
        <is>
          <t>RES-0230</t>
        </is>
      </c>
      <c r="B231" s="6" t="inlineStr">
        <is>
          <t>TR-10</t>
        </is>
      </c>
      <c r="C231" s="6" t="inlineStr">
        <is>
          <t>docs/nearby-referral-2026-10/TEST_RESULTS.md</t>
        </is>
      </c>
      <c r="D231" s="6" t="inlineStr">
        <is>
          <t>1. Summary</t>
        </is>
      </c>
      <c r="E231" s="6" t="inlineStr"/>
      <c r="F231" s="6" t="inlineStr">
        <is>
          <t>F2 — default</t>
        </is>
      </c>
      <c r="G231" s="6" t="inlineStr"/>
      <c r="H231" s="6" t="inlineStr">
        <is>
          <t>Pass — both settings Optional after migration</t>
        </is>
      </c>
      <c r="I231" s="6" t="inlineStr">
        <is>
          <t>PASS</t>
        </is>
      </c>
    </row>
    <row r="232" ht="27" customHeight="1">
      <c r="A232" s="6" t="inlineStr">
        <is>
          <t>RES-0231</t>
        </is>
      </c>
      <c r="B232" s="6" t="inlineStr">
        <is>
          <t>TR-10</t>
        </is>
      </c>
      <c r="C232" s="6" t="inlineStr">
        <is>
          <t>docs/nearby-referral-2026-10/TEST_RESULTS.md</t>
        </is>
      </c>
      <c r="D232" s="6" t="inlineStr">
        <is>
          <t>1. Summary</t>
        </is>
      </c>
      <c r="E232" s="6" t="inlineStr"/>
      <c r="F232" s="6" t="inlineStr">
        <is>
          <t>F2 — admin only</t>
        </is>
      </c>
      <c r="G232" s="6" t="inlineStr"/>
      <c r="H232" s="6" t="inlineStr">
        <is>
          <t>Pass — operator, shop owner, customer: page sends them home, GET/PUT 403; signed out 401</t>
        </is>
      </c>
      <c r="I232" s="6" t="inlineStr">
        <is>
          <t>PASS</t>
        </is>
      </c>
    </row>
    <row r="233" ht="39" customHeight="1">
      <c r="A233" s="6" t="inlineStr">
        <is>
          <t>RES-0232</t>
        </is>
      </c>
      <c r="B233" s="6" t="inlineStr">
        <is>
          <t>TR-10</t>
        </is>
      </c>
      <c r="C233" s="6" t="inlineStr">
        <is>
          <t>docs/nearby-referral-2026-10/TEST_RESULTS.md</t>
        </is>
      </c>
      <c r="D233" s="6" t="inlineStr">
        <is>
          <t>1. Summary</t>
        </is>
      </c>
      <c r="E233" s="6" t="inlineStr"/>
      <c r="F233" s="6" t="inlineStr">
        <is>
          <t>F2 — toggles and log</t>
        </is>
      </c>
      <c r="G233" s="6" t="inlineStr"/>
      <c r="H233" s="6" t="inlineStr">
        <is>
          <t>Pass — 6 changes made through the switches; each shows "Last change: Optional → Mandatory by …gk-admin… on 11 Oct 2026, 12:56 am IST"; change log lists all 6</t>
        </is>
      </c>
      <c r="I233" s="6" t="inlineStr">
        <is>
          <t>PASS</t>
        </is>
      </c>
    </row>
    <row r="234" ht="27" customHeight="1">
      <c r="A234" s="6" t="inlineStr">
        <is>
          <t>RES-0233</t>
        </is>
      </c>
      <c r="B234" s="6" t="inlineStr">
        <is>
          <t>TR-10</t>
        </is>
      </c>
      <c r="C234" s="6" t="inlineStr">
        <is>
          <t>docs/nearby-referral-2026-10/TEST_RESULTS.md</t>
        </is>
      </c>
      <c r="D234" s="6" t="inlineStr">
        <is>
          <t>1. Summary</t>
        </is>
      </c>
      <c r="E234" s="6" t="inlineStr"/>
      <c r="F234" s="6" t="inlineStr">
        <is>
          <t>F2 — 4 combinations × shop × blank / invalid / valid</t>
        </is>
      </c>
      <c r="G234" s="6" t="inlineStr"/>
      <c r="H234" s="6" t="inlineStr">
        <is>
          <t>Pass (§4)</t>
        </is>
      </c>
      <c r="I234" s="6" t="inlineStr">
        <is>
          <t>PASS</t>
        </is>
      </c>
    </row>
    <row r="235" ht="39" customHeight="1">
      <c r="A235" s="6" t="inlineStr">
        <is>
          <t>RES-0234</t>
        </is>
      </c>
      <c r="B235" s="6" t="inlineStr">
        <is>
          <t>TR-10</t>
        </is>
      </c>
      <c r="C235" s="6" t="inlineStr">
        <is>
          <t>docs/nearby-referral-2026-10/TEST_RESULTS.md</t>
        </is>
      </c>
      <c r="D235" s="6" t="inlineStr">
        <is>
          <t>1. Summary</t>
        </is>
      </c>
      <c r="E235" s="6" t="inlineStr"/>
      <c r="F235" s="6" t="inlineStr">
        <is>
          <t>F2 — 4 combinations × customer × blank / invalid / valid</t>
        </is>
      </c>
      <c r="G235" s="6" t="inlineStr"/>
      <c r="H235" s="6" t="inlineStr">
        <is>
          <t>Pass (§4)</t>
        </is>
      </c>
      <c r="I235" s="6" t="inlineStr">
        <is>
          <t>PASS</t>
        </is>
      </c>
    </row>
    <row r="236" ht="27" customHeight="1">
      <c r="A236" s="6" t="inlineStr">
        <is>
          <t>RES-0235</t>
        </is>
      </c>
      <c r="B236" s="6" t="inlineStr">
        <is>
          <t>TR-10</t>
        </is>
      </c>
      <c r="C236" s="6" t="inlineStr">
        <is>
          <t>docs/nearby-referral-2026-10/TEST_RESULTS.md</t>
        </is>
      </c>
      <c r="D236" s="6" t="inlineStr">
        <is>
          <t>1. Summary</t>
        </is>
      </c>
      <c r="E236" s="6" t="inlineStr"/>
      <c r="F236" s="6" t="inlineStr">
        <is>
          <t>F2 — existing users unaffected</t>
        </is>
      </c>
      <c r="G236" s="6" t="inlineStr"/>
      <c r="H236" s="6" t="inlineStr">
        <is>
          <t>Pass — gk-cust never needed a code in any combination</t>
        </is>
      </c>
      <c r="I236" s="6" t="inlineStr">
        <is>
          <t>PASS</t>
        </is>
      </c>
    </row>
    <row r="237" ht="27" customHeight="1">
      <c r="A237" s="6" t="inlineStr">
        <is>
          <t>RES-0236</t>
        </is>
      </c>
      <c r="B237" s="6" t="inlineStr">
        <is>
          <t>TR-10</t>
        </is>
      </c>
      <c r="C237" s="6" t="inlineStr">
        <is>
          <t>docs/nearby-referral-2026-10/TEST_RESULTS.md</t>
        </is>
      </c>
      <c r="D237" s="6" t="inlineStr">
        <is>
          <t>1. Summary</t>
        </is>
      </c>
      <c r="E237" s="6" t="inlineStr"/>
      <c r="F237" s="6" t="inlineStr">
        <is>
          <t>F2 — self-registration with payment, no code</t>
        </is>
      </c>
      <c r="G237" s="6" t="inlineStr"/>
      <c r="H237" s="6" t="inlineStr">
        <is>
          <t>Not run on test (N-2: no SMS provider on test); covered by integration tests</t>
        </is>
      </c>
      <c r="I237" s="6" t="inlineStr">
        <is>
          <t>NOT RUN</t>
        </is>
      </c>
    </row>
    <row r="238" ht="27" customHeight="1">
      <c r="A238" s="6" t="inlineStr">
        <is>
          <t>RES-0237</t>
        </is>
      </c>
      <c r="B238" s="6" t="inlineStr">
        <is>
          <t>TR-10</t>
        </is>
      </c>
      <c r="C238" s="6" t="inlineStr">
        <is>
          <t>docs/nearby-referral-2026-10/TEST_RESULTS.md</t>
        </is>
      </c>
      <c r="D238" s="6" t="inlineStr">
        <is>
          <t>1. Summary</t>
        </is>
      </c>
      <c r="E238" s="6" t="inlineStr"/>
      <c r="F238" s="6" t="inlineStr">
        <is>
          <t>Regression — login, orders, shop dashboard, admin</t>
        </is>
      </c>
      <c r="G238" s="6" t="inlineStr"/>
      <c r="H238" s="6" t="inlineStr">
        <is>
          <t>Pass — 18 pages × 4 roles, same as before the deploy (N-4)</t>
        </is>
      </c>
      <c r="I238" s="6" t="inlineStr">
        <is>
          <t>PASS</t>
        </is>
      </c>
    </row>
    <row r="239" ht="39" customHeight="1">
      <c r="A239" s="6" t="inlineStr">
        <is>
          <t>RES-0238</t>
        </is>
      </c>
      <c r="B239" s="6" t="inlineStr">
        <is>
          <t>TR-10</t>
        </is>
      </c>
      <c r="C239" s="6" t="inlineStr">
        <is>
          <t>docs/nearby-referral-2026-10/TEST_RESULTS.md</t>
        </is>
      </c>
      <c r="D239" s="6" t="inlineStr">
        <is>
          <t>1. Summary</t>
        </is>
      </c>
      <c r="E239" s="6" t="inlineStr"/>
      <c r="F239" s="6" t="inlineStr">
        <is>
          <t>Regression — payments</t>
        </is>
      </c>
      <c r="G239" s="6" t="inlineStr"/>
      <c r="H239" s="6" t="inlineStr">
        <is>
          <t>Pass — ₹10 wallet top-up, Cashfree sandbox UPI testsuccess@gocash (sandbox-pay run 38080594690) → site verified with Cashfree → balance ₹30 → ₹40</t>
        </is>
      </c>
      <c r="I239" s="6" t="inlineStr">
        <is>
          <t>PASS</t>
        </is>
      </c>
    </row>
    <row r="240" ht="27" customHeight="1">
      <c r="A240" s="6" t="inlineStr">
        <is>
          <t>RES-0239</t>
        </is>
      </c>
      <c r="B240" s="6" t="inlineStr">
        <is>
          <t>TR-10</t>
        </is>
      </c>
      <c r="C240" s="6" t="inlineStr">
        <is>
          <t>docs/nearby-referral-2026-10/TEST_RESULTS.md</t>
        </is>
      </c>
      <c r="D240" s="6" t="inlineStr">
        <is>
          <t>2. Nearby, step by step (UTC)</t>
        </is>
      </c>
      <c r="E240" s="6" t="inlineStr">
        <is>
          <t>19:12</t>
        </is>
      </c>
      <c r="F240" s="6" t="inlineStr"/>
      <c r="G240" s="6" t="inlineStr">
        <is>
          <t>Shops without location as customer / shop owner / operator</t>
        </is>
      </c>
      <c r="H240" s="6" t="inlineStr">
        <is>
          <t>/ · / · 9 rows</t>
        </is>
      </c>
      <c r="I240" s="6" t="inlineStr">
        <is>
          <t>OK (recorded)</t>
        </is>
      </c>
    </row>
    <row r="241" ht="27" customHeight="1">
      <c r="A241" s="6" t="inlineStr">
        <is>
          <t>RES-0240</t>
        </is>
      </c>
      <c r="B241" s="6" t="inlineStr">
        <is>
          <t>TR-10</t>
        </is>
      </c>
      <c r="C241" s="6" t="inlineStr">
        <is>
          <t>docs/nearby-referral-2026-10/TEST_RESULTS.md</t>
        </is>
      </c>
      <c r="D241" s="6" t="inlineStr">
        <is>
          <t>2. Nearby, step by step (UTC)</t>
        </is>
      </c>
      <c r="E241" s="6" t="inlineStr">
        <is>
          <t>19:13</t>
        </is>
      </c>
      <c r="F241" s="6" t="inlineStr"/>
      <c r="G241" s="6" t="inlineStr">
        <is>
          <t>Admin: CSV download; "Fill all from address"</t>
        </is>
      </c>
      <c r="H241" s="6" t="inlineStr">
        <is>
          <t>CSV with 9 shops; each shop: "API keys with referer restrictions cannot be used with this API." — nothing saved (N-1)</t>
        </is>
      </c>
      <c r="I241" s="6" t="inlineStr">
        <is>
          <t>OK (recorded)</t>
        </is>
      </c>
    </row>
    <row r="242" ht="27" customHeight="1">
      <c r="A242" s="6" t="inlineStr">
        <is>
          <t>RES-0241</t>
        </is>
      </c>
      <c r="B242" s="6" t="inlineStr">
        <is>
          <t>TR-10</t>
        </is>
      </c>
      <c r="C242" s="6" t="inlineStr">
        <is>
          <t>docs/nearby-referral-2026-10/TEST_RESULTS.md</t>
        </is>
      </c>
      <c r="D242" s="6" t="inlineStr">
        <is>
          <t>2. Nearby, step by step (UTC)</t>
        </is>
      </c>
      <c r="E242" s="6" t="inlineStr">
        <is>
          <t>19:13</t>
        </is>
      </c>
      <c r="F242" s="6" t="inlineStr"/>
      <c r="G242" s="6" t="inlineStr">
        <is>
          <t>Admin pastes coordinates for Agtci, Chikan Shop, E2E Four Features Stationery, EcoMed Solutions</t>
        </is>
      </c>
      <c r="H242" s="6" t="inlineStr">
        <is>
          <t>"Saved." ×4; "hello" → "Paste latitude, longitude — for example …"; 5 left</t>
        </is>
      </c>
      <c r="I242" s="6" t="inlineStr">
        <is>
          <t>OK (recorded)</t>
        </is>
      </c>
    </row>
    <row r="243" ht="39" customHeight="1">
      <c r="A243" s="6" t="inlineStr">
        <is>
          <t>RES-0242</t>
        </is>
      </c>
      <c r="B243" s="6" t="inlineStr">
        <is>
          <t>TR-10</t>
        </is>
      </c>
      <c r="C243" s="6" t="inlineStr">
        <is>
          <t>docs/nearby-referral-2026-10/TEST_RESULTS.md</t>
        </is>
      </c>
      <c r="D243" s="6" t="inlineStr">
        <is>
          <t>2. Nearby, step by step (UTC)</t>
        </is>
      </c>
      <c r="E243" s="6" t="inlineStr">
        <is>
          <t>19:14</t>
        </is>
      </c>
      <c r="F243" s="6" t="inlineStr"/>
      <c r="G243" s="6" t="inlineStr">
        <is>
          <t>Android, GPS 18.5515, 73.9348</t>
        </is>
      </c>
      <c r="H243" s="6" t="inlineStr">
        <is>
          <t>location "kharadi, Pune 411014"; 1 km: Chikan Shop 540 m, Agtci 830 m; 3 km: + Samarth tea center 1.7 km, Asmy Exports 2.2 km; 10 km: + EcoMed Solutions 6.1 km, E2E Four Features Bakery 8.9 km</t>
        </is>
      </c>
      <c r="I243" s="6" t="inlineStr">
        <is>
          <t>OK (recorded)</t>
        </is>
      </c>
    </row>
    <row r="244" ht="27" customHeight="1">
      <c r="A244" s="6" t="inlineStr">
        <is>
          <t>RES-0243</t>
        </is>
      </c>
      <c r="B244" s="6" t="inlineStr">
        <is>
          <t>TR-10</t>
        </is>
      </c>
      <c r="C244" s="6" t="inlineStr">
        <is>
          <t>docs/nearby-referral-2026-10/TEST_RESULTS.md</t>
        </is>
      </c>
      <c r="D244" s="6" t="inlineStr">
        <is>
          <t>2. Nearby, step by step (UTC)</t>
        </is>
      </c>
      <c r="E244" s="6" t="inlineStr">
        <is>
          <t>19:14</t>
        </is>
      </c>
      <c r="F244" s="6" t="inlineStr"/>
      <c r="G244" s="6" t="inlineStr">
        <is>
          <t>iPhone, same</t>
        </is>
      </c>
      <c r="H244" s="6" t="inlineStr">
        <is>
          <t>same lists and distances</t>
        </is>
      </c>
      <c r="I244" s="6" t="inlineStr">
        <is>
          <t>OK (recorded)</t>
        </is>
      </c>
    </row>
    <row r="245" ht="27" customHeight="1">
      <c r="A245" s="6" t="inlineStr">
        <is>
          <t>RES-0244</t>
        </is>
      </c>
      <c r="B245" s="6" t="inlineStr">
        <is>
          <t>TR-10</t>
        </is>
      </c>
      <c r="C245" s="6" t="inlineStr">
        <is>
          <t>docs/nearby-referral-2026-10/TEST_RESULTS.md</t>
        </is>
      </c>
      <c r="D245" s="6" t="inlineStr">
        <is>
          <t>2. Nearby, step by step (UTC)</t>
        </is>
      </c>
      <c r="E245" s="6" t="inlineStr">
        <is>
          <t>19:15</t>
        </is>
      </c>
      <c r="F245" s="6" t="inlineStr"/>
      <c r="G245" s="6" t="inlineStr">
        <is>
          <t>Desktop, same</t>
        </is>
      </c>
      <c r="H245" s="6" t="inlineStr">
        <is>
          <t>same</t>
        </is>
      </c>
      <c r="I245" s="6" t="inlineStr">
        <is>
          <t>OK (recorded)</t>
        </is>
      </c>
    </row>
    <row r="246" ht="27" customHeight="1">
      <c r="A246" s="6" t="inlineStr">
        <is>
          <t>RES-0245</t>
        </is>
      </c>
      <c r="B246" s="6" t="inlineStr">
        <is>
          <t>TR-10</t>
        </is>
      </c>
      <c r="C246" s="6" t="inlineStr">
        <is>
          <t>docs/nearby-referral-2026-10/TEST_RESULTS.md</t>
        </is>
      </c>
      <c r="D246" s="6" t="inlineStr">
        <is>
          <t>2. Nearby, step by step (UTC)</t>
        </is>
      </c>
      <c r="E246" s="6" t="inlineStr">
        <is>
          <t>19:15</t>
        </is>
      </c>
      <c r="F246" s="6" t="inlineStr"/>
      <c r="G246" s="6" t="inlineStr">
        <is>
          <t>Map view, tap Chikan Shop (phone, desktop)</t>
        </is>
      </c>
      <c r="H246" s="6" t="inlineStr">
        <is>
          <t>bubble "Chikan Shop · 540 m away · Closed · Directions" → …origin=18.5515%2C73.9348&amp;destination=18.54684%2C73.93618</t>
        </is>
      </c>
      <c r="I246" s="6" t="inlineStr">
        <is>
          <t>OK (recorded)</t>
        </is>
      </c>
    </row>
    <row r="247" ht="27" customHeight="1">
      <c r="A247" s="6" t="inlineStr">
        <is>
          <t>RES-0246</t>
        </is>
      </c>
      <c r="B247" s="6" t="inlineStr">
        <is>
          <t>TR-10</t>
        </is>
      </c>
      <c r="C247" s="6" t="inlineStr">
        <is>
          <t>docs/nearby-referral-2026-10/TEST_RESULTS.md</t>
        </is>
      </c>
      <c r="D247" s="6" t="inlineStr">
        <is>
          <t>2. Nearby, step by step (UTC)</t>
        </is>
      </c>
      <c r="E247" s="6" t="inlineStr">
        <is>
          <t>19:20</t>
        </is>
      </c>
      <c r="F247" s="6" t="inlineStr"/>
      <c r="G247" s="6" t="inlineStr">
        <is>
          <t>Location blocked in the browser</t>
        </is>
      </c>
      <c r="H247" s="6" t="inlineStr">
        <is>
          <t>message + PIN box</t>
        </is>
      </c>
      <c r="I247" s="6" t="inlineStr">
        <is>
          <t>OK (recorded)</t>
        </is>
      </c>
    </row>
    <row r="248" ht="27" customHeight="1">
      <c r="A248" s="6" t="inlineStr">
        <is>
          <t>RES-0247</t>
        </is>
      </c>
      <c r="B248" s="6" t="inlineStr">
        <is>
          <t>TR-10</t>
        </is>
      </c>
      <c r="C248" s="6" t="inlineStr">
        <is>
          <t>docs/nearby-referral-2026-10/TEST_RESULTS.md</t>
        </is>
      </c>
      <c r="D248" s="6" t="inlineStr">
        <is>
          <t>2. Nearby, step by step (UTC)</t>
        </is>
      </c>
      <c r="E248" s="6" t="inlineStr">
        <is>
          <t>19:20</t>
        </is>
      </c>
      <c r="F248" s="6" t="inlineStr"/>
      <c r="G248" s="6" t="inlineStr">
        <is>
          <t>PIN 411014 / "Kharadi" / 999999</t>
        </is>
      </c>
      <c r="H248" s="6" t="inlineStr">
        <is>
          <t>results / results / clear error</t>
        </is>
      </c>
      <c r="I248" s="6" t="inlineStr">
        <is>
          <t>OK (recorded)</t>
        </is>
      </c>
    </row>
    <row r="249" ht="27" customHeight="1">
      <c r="A249" s="6" t="inlineStr">
        <is>
          <t>RES-0248</t>
        </is>
      </c>
      <c r="B249" s="6" t="inlineStr">
        <is>
          <t>TR-10</t>
        </is>
      </c>
      <c r="C249" s="6" t="inlineStr">
        <is>
          <t>docs/nearby-referral-2026-10/TEST_RESULTS.md</t>
        </is>
      </c>
      <c r="D249" s="6" t="inlineStr">
        <is>
          <t>2. Nearby, step by step (UTC)</t>
        </is>
      </c>
      <c r="E249" s="6" t="inlineStr">
        <is>
          <t>19:20</t>
        </is>
      </c>
      <c r="F249" s="6" t="inlineStr"/>
      <c r="G249" s="6" t="inlineStr">
        <is>
          <t>Nagpur (21.1458, 79.0882)</t>
        </is>
      </c>
      <c r="H249" s="6" t="inlineStr">
        <is>
          <t>"No shops found within 5 km" + widen / see all</t>
        </is>
      </c>
      <c r="I249" s="6" t="inlineStr">
        <is>
          <t>OK (recorded)</t>
        </is>
      </c>
    </row>
    <row r="250" ht="27" customHeight="1">
      <c r="A250" s="6" t="inlineStr">
        <is>
          <t>RES-0249</t>
        </is>
      </c>
      <c r="B250" s="6" t="inlineStr">
        <is>
          <t>TR-10</t>
        </is>
      </c>
      <c r="C250" s="6" t="inlineStr">
        <is>
          <t>docs/nearby-referral-2026-10/TEST_RESULTS.md</t>
        </is>
      </c>
      <c r="D250" s="6" t="inlineStr">
        <is>
          <t>2. Nearby, step by step (UTC)</t>
        </is>
      </c>
      <c r="E250" s="6" t="inlineStr">
        <is>
          <t>19:20</t>
        </is>
      </c>
      <c r="F250" s="6" t="inlineStr"/>
      <c r="G250" s="6" t="inlineStr">
        <is>
          <t>18.48, 73.90, radius 3 km</t>
        </is>
      </c>
      <c r="H250" s="6" t="inlineStr">
        <is>
          <t>"1 shop within 5 km · Widen to 5 km" → EcoMed Solutions 4.0 km</t>
        </is>
      </c>
      <c r="I250" s="6" t="inlineStr">
        <is>
          <t>OK (recorded)</t>
        </is>
      </c>
    </row>
    <row r="251" ht="27" customHeight="1">
      <c r="A251" s="6" t="inlineStr">
        <is>
          <t>RES-0250</t>
        </is>
      </c>
      <c r="B251" s="6" t="inlineStr">
        <is>
          <t>TR-10</t>
        </is>
      </c>
      <c r="C251" s="6" t="inlineStr">
        <is>
          <t>docs/nearby-referral-2026-10/TEST_RESULTS.md</t>
        </is>
      </c>
      <c r="D251" s="6" t="inlineStr">
        <is>
          <t>2. Nearby, step by step (UTC)</t>
        </is>
      </c>
      <c r="E251" s="6" t="inlineStr">
        <is>
          <t>19:20</t>
        </is>
      </c>
      <c r="F251" s="6" t="inlineStr"/>
      <c r="G251" s="6" t="inlineStr">
        <is>
          <t>Home board</t>
        </is>
      </c>
      <c r="H251" s="6" t="inlineStr">
        <is>
          <t>Nearby chip → /shops/nearby</t>
        </is>
      </c>
      <c r="I251" s="6" t="inlineStr">
        <is>
          <t>OK (recorded)</t>
        </is>
      </c>
    </row>
    <row r="252" ht="27" customHeight="1">
      <c r="A252" s="6" t="inlineStr">
        <is>
          <t>RES-0251</t>
        </is>
      </c>
      <c r="B252" s="6" t="inlineStr">
        <is>
          <t>TR-11</t>
        </is>
      </c>
      <c r="C252" s="6" t="inlineStr">
        <is>
          <t>docs/nearby-referral-2026-10/TEST_RESULTS.md</t>
        </is>
      </c>
      <c r="D252" s="6" t="inlineStr">
        <is>
          <t>6. Production (gokesari.com)</t>
        </is>
      </c>
      <c r="E252" s="6" t="inlineStr"/>
      <c r="F252" s="6" t="inlineStr"/>
      <c r="G252" s="6" t="inlineStr">
        <is>
          <t>/, /shops, /search?q=milk, /categories, /signin, /legal/wallet-terms</t>
        </is>
      </c>
      <c r="H252" s="6" t="inlineStr">
        <is>
          <t>200 (before: 200)</t>
        </is>
      </c>
      <c r="I252" s="6" t="inlineStr">
        <is>
          <t>PASS</t>
        </is>
      </c>
    </row>
    <row r="253" ht="27" customHeight="1">
      <c r="A253" s="6" t="inlineStr">
        <is>
          <t>RES-0252</t>
        </is>
      </c>
      <c r="B253" s="6" t="inlineStr">
        <is>
          <t>TR-11</t>
        </is>
      </c>
      <c r="C253" s="6" t="inlineStr">
        <is>
          <t>docs/nearby-referral-2026-10/TEST_RESULTS.md</t>
        </is>
      </c>
      <c r="D253" s="6" t="inlineStr">
        <is>
          <t>6. Production (gokesari.com)</t>
        </is>
      </c>
      <c r="E253" s="6" t="inlineStr"/>
      <c r="F253" s="6" t="inlineStr"/>
      <c r="G253" s="6" t="inlineStr">
        <is>
          <t>/shops/nearby</t>
        </is>
      </c>
      <c r="H253" s="6" t="inlineStr">
        <is>
          <t>200 (before: 404)</t>
        </is>
      </c>
      <c r="I253" s="6" t="inlineStr">
        <is>
          <t>PASS</t>
        </is>
      </c>
    </row>
    <row r="254" ht="27" customHeight="1">
      <c r="A254" s="6" t="inlineStr">
        <is>
          <t>RES-0253</t>
        </is>
      </c>
      <c r="B254" s="6" t="inlineStr">
        <is>
          <t>TR-11</t>
        </is>
      </c>
      <c r="C254" s="6" t="inlineStr">
        <is>
          <t>docs/nearby-referral-2026-10/TEST_RESULTS.md</t>
        </is>
      </c>
      <c r="D254" s="6" t="inlineStr">
        <is>
          <t>6. Production (gokesari.com)</t>
        </is>
      </c>
      <c r="E254" s="6" t="inlineStr"/>
      <c r="F254" s="6" t="inlineStr"/>
      <c r="G254" s="6" t="inlineStr">
        <is>
          <t>/api/referral-settings</t>
        </is>
      </c>
      <c r="H254" s="6" t="inlineStr">
        <is>
          <t>{"customer":"OPTIONAL","shop":"OPTIONAL"} (before: 404)</t>
        </is>
      </c>
      <c r="I254" s="6" t="inlineStr">
        <is>
          <t>OK (recorded)</t>
        </is>
      </c>
    </row>
    <row r="255" ht="27" customHeight="1">
      <c r="A255" s="6" t="inlineStr">
        <is>
          <t>RES-0254</t>
        </is>
      </c>
      <c r="B255" s="6" t="inlineStr">
        <is>
          <t>TR-11</t>
        </is>
      </c>
      <c r="C255" s="6" t="inlineStr">
        <is>
          <t>docs/nearby-referral-2026-10/TEST_RESULTS.md</t>
        </is>
      </c>
      <c r="D255" s="6" t="inlineStr">
        <is>
          <t>6. Production (gokesari.com)</t>
        </is>
      </c>
      <c r="E255" s="6" t="inlineStr"/>
      <c r="F255" s="6" t="inlineStr"/>
      <c r="G255" s="6" t="inlineStr">
        <is>
          <t>/api/shops/nearby?lat=18.5204&amp;lng=73.8567</t>
        </is>
      </c>
      <c r="H255" s="6" t="inlineStr">
        <is>
          <t>200 (before: 500 (old /api/shops/{id} route))</t>
        </is>
      </c>
      <c r="I255" s="6" t="inlineStr">
        <is>
          <t>PASS</t>
        </is>
      </c>
    </row>
    <row r="256" ht="27" customHeight="1">
      <c r="A256" s="6" t="inlineStr">
        <is>
          <t>RES-0255</t>
        </is>
      </c>
      <c r="B256" s="6" t="inlineStr">
        <is>
          <t>TR-11</t>
        </is>
      </c>
      <c r="C256" s="6" t="inlineStr">
        <is>
          <t>docs/nearby-referral-2026-10/TEST_RESULTS.md</t>
        </is>
      </c>
      <c r="D256" s="6" t="inlineStr">
        <is>
          <t>6. Production (gokesari.com)</t>
        </is>
      </c>
      <c r="E256" s="6" t="inlineStr"/>
      <c r="F256" s="6" t="inlineStr"/>
      <c r="G256" s="6" t="inlineStr">
        <is>
          <t>Nearby screen, Android and desktop, GPS Pune centre</t>
        </is>
      </c>
      <c r="H256" s="6" t="inlineStr">
        <is>
          <t>"Dattwadi, Pune 411011", all radii, empty state, 0 page errors (before: —)</t>
        </is>
      </c>
      <c r="I256" s="6" t="inlineStr">
        <is>
          <t>OK (recorded)</t>
        </is>
      </c>
    </row>
    <row r="257" ht="27" customHeight="1">
      <c r="A257" s="6" t="inlineStr">
        <is>
          <t>RES-0256</t>
        </is>
      </c>
      <c r="B257" s="6" t="inlineStr">
        <is>
          <t>TR-11</t>
        </is>
      </c>
      <c r="C257" s="6" t="inlineStr">
        <is>
          <t>docs/nearby-referral-2026-10/TEST_RESULTS.md</t>
        </is>
      </c>
      <c r="D257" s="6" t="inlineStr">
        <is>
          <t>6. Production (gokesari.com)</t>
        </is>
      </c>
      <c r="E257" s="6" t="inlineStr"/>
      <c r="F257" s="6" t="inlineStr"/>
      <c r="G257" s="6" t="inlineStr">
        <is>
          <t>Home board Nearby chip</t>
        </is>
      </c>
      <c r="H257" s="6" t="inlineStr">
        <is>
          <t>/shops/nearby (before: /shops)</t>
        </is>
      </c>
      <c r="I257" s="6" t="inlineStr">
        <is>
          <t>OK (recorded)</t>
        </is>
      </c>
    </row>
    <row r="258" ht="27" customHeight="1">
      <c r="A258" s="6" t="inlineStr">
        <is>
          <t>RES-0257</t>
        </is>
      </c>
      <c r="B258" s="6" t="inlineStr">
        <is>
          <t>TR-12</t>
        </is>
      </c>
      <c r="C258" s="6" t="inlineStr">
        <is>
          <t>docs/nearby-referral-2026-10/TEST_RESULTS.md</t>
        </is>
      </c>
      <c r="D258" s="6" t="inlineStr">
        <is>
          <t>8. Fix: referral codes showed 0 shops (11 Oct 2026)</t>
        </is>
      </c>
      <c r="E258" s="6" t="inlineStr"/>
      <c r="F258" s="6" t="inlineStr"/>
      <c r="G258" s="6" t="inlineStr">
        <is>
          <t>New integration tests (codes with 2 and 0 shops; a society with founder + approved resident + pending request)</t>
        </is>
      </c>
      <c r="H258" s="6" t="inlineStr">
        <is>
          <t>Fail on the old code, pass with the fix</t>
        </is>
      </c>
      <c r="I258" s="6" t="inlineStr">
        <is>
          <t>PASS</t>
        </is>
      </c>
    </row>
    <row r="259" ht="27" customHeight="1">
      <c r="A259" s="6" t="inlineStr">
        <is>
          <t>RES-0258</t>
        </is>
      </c>
      <c r="B259" s="6" t="inlineStr">
        <is>
          <t>TR-12</t>
        </is>
      </c>
      <c r="C259" s="6" t="inlineStr">
        <is>
          <t>docs/nearby-referral-2026-10/TEST_RESULTS.md</t>
        </is>
      </c>
      <c r="D259" s="6" t="inlineStr">
        <is>
          <t>8. Fix: referral codes showed 0 shops (11 Oct 2026)</t>
        </is>
      </c>
      <c r="E259" s="6" t="inlineStr"/>
      <c r="F259" s="6" t="inlineStr"/>
      <c r="G259" s="6" t="inlineStr">
        <is>
          <t>PR #138 → staging, CI</t>
        </is>
      </c>
      <c r="H259" s="6" t="inlineStr">
        <is>
          <t>Green; merged 02:11 UTC</t>
        </is>
      </c>
      <c r="I259" s="6" t="inlineStr">
        <is>
          <t>PASS</t>
        </is>
      </c>
    </row>
    <row r="260" ht="27" customHeight="1">
      <c r="A260" s="6" t="inlineStr">
        <is>
          <t>RES-0259</t>
        </is>
      </c>
      <c r="B260" s="6" t="inlineStr">
        <is>
          <t>TR-12</t>
        </is>
      </c>
      <c r="C260" s="6" t="inlineStr">
        <is>
          <t>docs/nearby-referral-2026-10/TEST_RESULTS.md</t>
        </is>
      </c>
      <c r="D260" s="6" t="inlineStr">
        <is>
          <t>8. Fix: referral codes showed 0 shops (11 Oct 2026)</t>
        </is>
      </c>
      <c r="E260" s="6" t="inlineStr"/>
      <c r="F260" s="6" t="inlineStr"/>
      <c r="G260" s="6" t="inlineStr">
        <is>
          <t>test.gokesari.com, Admin → Referral codes (GET /api/referral-codes as admin)</t>
        </is>
      </c>
      <c r="H260" s="6" t="inlineStr">
        <is>
          <t>E2ENEARBY1 4, E2ETEST1 4, E2EANIL1 1, GKCMUWB6K 0 (it was 0 for all)</t>
        </is>
      </c>
      <c r="I260" s="6" t="inlineStr">
        <is>
          <t>OK (recorded)</t>
        </is>
      </c>
    </row>
    <row r="261" ht="27" customHeight="1">
      <c r="A261" s="6" t="inlineStr">
        <is>
          <t>RES-0260</t>
        </is>
      </c>
      <c r="B261" s="6" t="inlineStr">
        <is>
          <t>TR-12</t>
        </is>
      </c>
      <c r="C261" s="6" t="inlineStr">
        <is>
          <t>docs/nearby-referral-2026-10/TEST_RESULTS.md</t>
        </is>
      </c>
      <c r="D261" s="6" t="inlineStr">
        <is>
          <t>8. Fix: referral codes showed 0 shops (11 Oct 2026)</t>
        </is>
      </c>
      <c r="E261" s="6" t="inlineStr"/>
      <c r="F261" s="6" t="inlineStr"/>
      <c r="G261" s="6" t="inlineStr">
        <is>
          <t>Societies on test</t>
        </is>
      </c>
      <c r="H261" s="6" t="inlineStr">
        <is>
          <t>None exist, so this is covered by the integration test only</t>
        </is>
      </c>
      <c r="I261" s="6" t="inlineStr">
        <is>
          <t>OK (recorded)</t>
        </is>
      </c>
    </row>
    <row r="262" ht="27" customHeight="1">
      <c r="A262" s="6" t="inlineStr">
        <is>
          <t>RES-0261</t>
        </is>
      </c>
      <c r="B262" s="6" t="inlineStr">
        <is>
          <t>TR-12</t>
        </is>
      </c>
      <c r="C262" s="6" t="inlineStr">
        <is>
          <t>docs/nearby-referral-2026-10/TEST_RESULTS.md</t>
        </is>
      </c>
      <c r="D262" s="6" t="inlineStr">
        <is>
          <t>8. Fix: referral codes showed 0 shops (11 Oct 2026)</t>
        </is>
      </c>
      <c r="E262" s="6" t="inlineStr"/>
      <c r="F262" s="6" t="inlineStr"/>
      <c r="G262" s="6" t="inlineStr">
        <is>
          <t>PR #139 staging → main, CI</t>
        </is>
      </c>
      <c r="H262" s="6" t="inlineStr">
        <is>
          <t>Green; merged 02:32 UTC</t>
        </is>
      </c>
      <c r="I262" s="6" t="inlineStr">
        <is>
          <t>PASS</t>
        </is>
      </c>
    </row>
    <row r="263" ht="39" customHeight="1">
      <c r="A263" s="6" t="inlineStr">
        <is>
          <t>RES-0262</t>
        </is>
      </c>
      <c r="B263" s="6" t="inlineStr">
        <is>
          <t>TR-12</t>
        </is>
      </c>
      <c r="C263" s="6" t="inlineStr">
        <is>
          <t>docs/nearby-referral-2026-10/TEST_RESULTS.md</t>
        </is>
      </c>
      <c r="D263" s="6" t="inlineStr">
        <is>
          <t>8. Fix: referral codes showed 0 shops (11 Oct 2026)</t>
        </is>
      </c>
      <c r="E263" s="6" t="inlineStr"/>
      <c r="F263" s="6" t="inlineStr"/>
      <c r="G263" s="6" t="inlineStr">
        <is>
          <t>gokesari.com, read-only smoke at 02:40 UTC</t>
        </is>
      </c>
      <c r="H263" s="6" t="inlineStr">
        <is>
          <t>/, /shops, /shops/nearby, /signin, /api/referral-settings, /api/shops/nearby all 200; Nearby on Android and desktop: location named, all radii, 0 page errors</t>
        </is>
      </c>
      <c r="I263" s="6" t="inlineStr">
        <is>
          <t>OK (recorded)</t>
        </is>
      </c>
    </row>
    <row r="264" ht="27" customHeight="1">
      <c r="A264" s="6" t="inlineStr">
        <is>
          <t>RES-0263</t>
        </is>
      </c>
      <c r="B264" s="6" t="inlineStr">
        <is>
          <t>TR-13</t>
        </is>
      </c>
      <c r="C264" s="6" t="inlineStr">
        <is>
          <t>docs/seller-central-2026-10/TEST_RESULTS.md</t>
        </is>
      </c>
      <c r="D264" s="6" t="inlineStr">
        <is>
          <t>Automated checks</t>
        </is>
      </c>
      <c r="E264" s="6" t="inlineStr"/>
      <c r="F264" s="6" t="inlineStr"/>
      <c r="G264" s="6" t="inlineStr">
        <is>
          <t>Typecheck</t>
        </is>
      </c>
      <c r="H264" s="6" t="inlineStr">
        <is>
          <t>Pass</t>
        </is>
      </c>
      <c r="I264" s="6" t="inlineStr">
        <is>
          <t>PASS</t>
        </is>
      </c>
    </row>
    <row r="265" ht="27" customHeight="1">
      <c r="A265" s="6" t="inlineStr">
        <is>
          <t>RES-0264</t>
        </is>
      </c>
      <c r="B265" s="6" t="inlineStr">
        <is>
          <t>TR-13</t>
        </is>
      </c>
      <c r="C265" s="6" t="inlineStr">
        <is>
          <t>docs/seller-central-2026-10/TEST_RESULTS.md</t>
        </is>
      </c>
      <c r="D265" s="6" t="inlineStr">
        <is>
          <t>Automated checks</t>
        </is>
      </c>
      <c r="E265" s="6" t="inlineStr"/>
      <c r="F265" s="6" t="inlineStr"/>
      <c r="G265" s="6" t="inlineStr">
        <is>
          <t>Lint (changed files)</t>
        </is>
      </c>
      <c r="H265" s="6" t="inlineStr">
        <is>
          <t>Pass</t>
        </is>
      </c>
      <c r="I265" s="6" t="inlineStr">
        <is>
          <t>PASS</t>
        </is>
      </c>
    </row>
    <row r="266" ht="27" customHeight="1">
      <c r="A266" s="6" t="inlineStr">
        <is>
          <t>RES-0265</t>
        </is>
      </c>
      <c r="B266" s="6" t="inlineStr">
        <is>
          <t>TR-13</t>
        </is>
      </c>
      <c r="C266" s="6" t="inlineStr">
        <is>
          <t>docs/seller-central-2026-10/TEST_RESULTS.md</t>
        </is>
      </c>
      <c r="D266" s="6" t="inlineStr">
        <is>
          <t>Automated checks</t>
        </is>
      </c>
      <c r="E266" s="6" t="inlineStr"/>
      <c r="F266" s="6" t="inlineStr"/>
      <c r="G266" s="6" t="inlineStr">
        <is>
          <t>Full unit and integration suite</t>
        </is>
      </c>
      <c r="H266" s="6" t="inlineStr">
        <is>
          <t>133 files, 1702 tests passed</t>
        </is>
      </c>
      <c r="I266" s="6" t="inlineStr">
        <is>
          <t>PASS</t>
        </is>
      </c>
    </row>
    <row r="267" ht="27" customHeight="1">
      <c r="A267" s="6" t="inlineStr">
        <is>
          <t>RES-0266</t>
        </is>
      </c>
      <c r="B267" s="6" t="inlineStr">
        <is>
          <t>TR-13</t>
        </is>
      </c>
      <c r="C267" s="6" t="inlineStr">
        <is>
          <t>docs/seller-central-2026-10/TEST_RESULTS.md</t>
        </is>
      </c>
      <c r="D267" s="6" t="inlineStr">
        <is>
          <t>Automated checks</t>
        </is>
      </c>
      <c r="E267" s="6" t="inlineStr"/>
      <c r="F267" s="6" t="inlineStr"/>
      <c r="G267" s="6" t="inlineStr">
        <is>
          <t>New tests</t>
        </is>
      </c>
      <c r="H267" s="6" t="inlineStr">
        <is>
          <t>5 passed</t>
        </is>
      </c>
      <c r="I267" s="6" t="inlineStr">
        <is>
          <t>PASS</t>
        </is>
      </c>
    </row>
    <row r="268" ht="39" customHeight="1">
      <c r="A268" s="6" t="inlineStr">
        <is>
          <t>RES-0267</t>
        </is>
      </c>
      <c r="B268" s="6" t="inlineStr">
        <is>
          <t>TR-13</t>
        </is>
      </c>
      <c r="C268" s="6" t="inlineStr">
        <is>
          <t>docs/seller-central-2026-10/TEST_RESULTS.md</t>
        </is>
      </c>
      <c r="D268" s="6" t="inlineStr">
        <is>
          <t>Manual checks (dev server on seeded demo data, Chromium)</t>
        </is>
      </c>
      <c r="E268" s="6" t="inlineStr"/>
      <c r="F268" s="6" t="inlineStr">
        <is>
          <t>1</t>
        </is>
      </c>
      <c r="G268" s="6" t="inlineStr">
        <is>
          <t>/sell signed out: hero, benefits, how it works, tools, shop types, register options, FAQ, footer; shopping header hidden | 1366 × 900</t>
        </is>
      </c>
      <c r="H268" s="6" t="inlineStr">
        <is>
          <t>Pass</t>
        </is>
      </c>
      <c r="I268" s="6" t="inlineStr">
        <is>
          <t>PASS</t>
        </is>
      </c>
    </row>
    <row r="269" ht="27" customHeight="1">
      <c r="A269" s="6" t="inlineStr">
        <is>
          <t>RES-0268</t>
        </is>
      </c>
      <c r="B269" s="6" t="inlineStr">
        <is>
          <t>TR-13</t>
        </is>
      </c>
      <c r="C269" s="6" t="inlineStr">
        <is>
          <t>docs/seller-central-2026-10/TEST_RESULTS.md</t>
        </is>
      </c>
      <c r="D269" s="6" t="inlineStr">
        <is>
          <t>Manual checks (dev server on seeded demo data, Chromium)</t>
        </is>
      </c>
      <c r="E269" s="6" t="inlineStr"/>
      <c r="F269" s="6" t="inlineStr">
        <is>
          <t>2</t>
        </is>
      </c>
      <c r="G269" s="6" t="inlineStr">
        <is>
          <t>/sell on a phone: every section stacks, no sideways scrolling | 390 × 844</t>
        </is>
      </c>
      <c r="H269" s="6" t="inlineStr">
        <is>
          <t>Pass</t>
        </is>
      </c>
      <c r="I269" s="6" t="inlineStr">
        <is>
          <t>PASS</t>
        </is>
      </c>
    </row>
    <row r="270" ht="39" customHeight="1">
      <c r="A270" s="6" t="inlineStr">
        <is>
          <t>RES-0269</t>
        </is>
      </c>
      <c r="B270" s="6" t="inlineStr">
        <is>
          <t>TR-13</t>
        </is>
      </c>
      <c r="C270" s="6" t="inlineStr">
        <is>
          <t>docs/seller-central-2026-10/TEST_RESULTS.md</t>
        </is>
      </c>
      <c r="D270" s="6" t="inlineStr">
        <is>
          <t>Manual checks (dev server on seeded demo data, Chromium)</t>
        </is>
      </c>
      <c r="E270" s="6" t="inlineStr"/>
      <c r="F270" s="6" t="inlineStr">
        <is>
          <t>3</t>
        </is>
      </c>
      <c r="G270" s="6" t="inlineStr">
        <is>
          <t>/shop as an approved owner (Kesari Dairy Farm): seller top bar with "Live" pill, sidebar groups, dashboard sections, all-tools grid | 1440 × 900</t>
        </is>
      </c>
      <c r="H270" s="6" t="inlineStr">
        <is>
          <t>Pass</t>
        </is>
      </c>
      <c r="I270" s="6" t="inlineStr">
        <is>
          <t>PASS</t>
        </is>
      </c>
    </row>
    <row r="271" ht="39" customHeight="1">
      <c r="A271" s="6" t="inlineStr">
        <is>
          <t>RES-0270</t>
        </is>
      </c>
      <c r="B271" s="6" t="inlineStr">
        <is>
          <t>TR-13</t>
        </is>
      </c>
      <c r="C271" s="6" t="inlineStr">
        <is>
          <t>docs/seller-central-2026-10/TEST_RESULTS.md</t>
        </is>
      </c>
      <c r="D271" s="6" t="inlineStr">
        <is>
          <t>Manual checks (dev server on seeded demo data, Chromium)</t>
        </is>
      </c>
      <c r="E271" s="6" t="inlineStr"/>
      <c r="F271" s="6" t="inlineStr">
        <is>
          <t>4</t>
        </is>
      </c>
      <c r="G271" s="6" t="inlineStr">
        <is>
          <t>/shop on a phone: the approved tile board, full screen with its own header (no seller top bar), page height exactly one screen | 390 × 844</t>
        </is>
      </c>
      <c r="H271" s="6" t="inlineStr">
        <is>
          <t>Pass</t>
        </is>
      </c>
      <c r="I271" s="6" t="inlineStr">
        <is>
          <t>PASS</t>
        </is>
      </c>
    </row>
    <row r="272" ht="27" customHeight="1">
      <c r="A272" s="6" t="inlineStr">
        <is>
          <t>RES-0271</t>
        </is>
      </c>
      <c r="B272" s="6" t="inlineStr">
        <is>
          <t>TR-13</t>
        </is>
      </c>
      <c r="C272" s="6" t="inlineStr">
        <is>
          <t>docs/seller-central-2026-10/TEST_RESULTS.md</t>
        </is>
      </c>
      <c r="D272" s="6" t="inlineStr">
        <is>
          <t>Manual checks (dev server on seeded demo data, Chromium)</t>
        </is>
      </c>
      <c r="E272" s="6" t="inlineStr"/>
      <c r="F272" s="6" t="inlineStr">
        <is>
          <t>4a</t>
        </is>
      </c>
      <c r="G272" s="6" t="inlineStr">
        <is>
          <t>/shop on a tablet: tile board, one screen | 820 × 1180</t>
        </is>
      </c>
      <c r="H272" s="6" t="inlineStr">
        <is>
          <t>Pass</t>
        </is>
      </c>
      <c r="I272" s="6" t="inlineStr">
        <is>
          <t>PASS</t>
        </is>
      </c>
    </row>
    <row r="273" ht="27" customHeight="1">
      <c r="A273" s="6" t="inlineStr">
        <is>
          <t>RES-0272</t>
        </is>
      </c>
      <c r="B273" s="6" t="inlineStr">
        <is>
          <t>TR-13</t>
        </is>
      </c>
      <c r="C273" s="6" t="inlineStr">
        <is>
          <t>docs/seller-central-2026-10/TEST_RESULTS.md</t>
        </is>
      </c>
      <c r="D273" s="6" t="inlineStr">
        <is>
          <t>Manual checks (dev server on seeded demo data, Chromium)</t>
        </is>
      </c>
      <c r="E273" s="6" t="inlineStr"/>
      <c r="F273" s="6" t="inlineStr">
        <is>
          <t>4b</t>
        </is>
      </c>
      <c r="G273" s="6" t="inlineStr">
        <is>
          <t>Tile board → Orders tile: /shop/orders opens in Seller Central with ☰ and the shop line | 390 × 844</t>
        </is>
      </c>
      <c r="H273" s="6" t="inlineStr">
        <is>
          <t>Pass</t>
        </is>
      </c>
      <c r="I273" s="6" t="inlineStr">
        <is>
          <t>PASS</t>
        </is>
      </c>
    </row>
    <row r="274" ht="27" customHeight="1">
      <c r="A274" s="6" t="inlineStr">
        <is>
          <t>RES-0273</t>
        </is>
      </c>
      <c r="B274" s="6" t="inlineStr">
        <is>
          <t>TR-13</t>
        </is>
      </c>
      <c r="C274" s="6" t="inlineStr">
        <is>
          <t>docs/seller-central-2026-10/TEST_RESULTS.md</t>
        </is>
      </c>
      <c r="D274" s="6" t="inlineStr">
        <is>
          <t>Manual checks (dev server on seeded demo data, Chromium)</t>
        </is>
      </c>
      <c r="E274" s="6" t="inlineStr"/>
      <c r="F274" s="6" t="inlineStr">
        <is>
          <t>5</t>
        </is>
      </c>
      <c r="G274" s="6" t="inlineStr">
        <is>
          <t>☰ on a seller page → Inventory: opens /shop/inventory and the drawer closes | 390 × 844</t>
        </is>
      </c>
      <c r="H274" s="6" t="inlineStr">
        <is>
          <t>Pass</t>
        </is>
      </c>
      <c r="I274" s="6" t="inlineStr">
        <is>
          <t>PASS</t>
        </is>
      </c>
    </row>
    <row r="275" ht="27" customHeight="1">
      <c r="A275" s="6" t="inlineStr">
        <is>
          <t>RES-0274</t>
        </is>
      </c>
      <c r="B275" s="6" t="inlineStr">
        <is>
          <t>TR-13</t>
        </is>
      </c>
      <c r="C275" s="6" t="inlineStr">
        <is>
          <t>docs/seller-central-2026-10/TEST_RESULTS.md</t>
        </is>
      </c>
      <c r="D275" s="6" t="inlineStr">
        <is>
          <t>Manual checks (dev server on seeded demo data, Chromium)</t>
        </is>
      </c>
      <c r="E275" s="6" t="inlineStr"/>
      <c r="F275" s="6" t="inlineStr">
        <is>
          <t>6</t>
        </is>
      </c>
      <c r="G275" s="6" t="inlineStr">
        <is>
          <t>/shop/orders: Orders highlighted in the sidebar with New / Packing / Ready / Out underneath | 1440 × 900</t>
        </is>
      </c>
      <c r="H275" s="6" t="inlineStr">
        <is>
          <t>Pass</t>
        </is>
      </c>
      <c r="I275" s="6" t="inlineStr">
        <is>
          <t>PASS</t>
        </is>
      </c>
    </row>
    <row r="276" ht="27" customHeight="1">
      <c r="A276" s="6" t="inlineStr">
        <is>
          <t>RES-0275</t>
        </is>
      </c>
      <c r="B276" s="6" t="inlineStr">
        <is>
          <t>TR-13</t>
        </is>
      </c>
      <c r="C276" s="6" t="inlineStr">
        <is>
          <t>docs/seller-central-2026-10/TEST_RESULTS.md</t>
        </is>
      </c>
      <c r="D276" s="6" t="inlineStr">
        <is>
          <t>Manual checks (dev server on seeded demo data, Chromium)</t>
        </is>
      </c>
      <c r="E276" s="6" t="inlineStr"/>
      <c r="F276" s="6" t="inlineStr">
        <is>
          <t>7</t>
        </is>
      </c>
      <c r="G276" s="6" t="inlineStr">
        <is>
          <t>Find a tool, typing "gst": lists "GST (Finance)" and "GST &amp; PAN (My Shop)" | 1440 × 900</t>
        </is>
      </c>
      <c r="H276" s="6" t="inlineStr">
        <is>
          <t>Pass</t>
        </is>
      </c>
      <c r="I276" s="6" t="inlineStr">
        <is>
          <t>PASS</t>
        </is>
      </c>
    </row>
    <row r="277" ht="39" customHeight="1">
      <c r="A277" s="6" t="inlineStr">
        <is>
          <t>RES-0276</t>
        </is>
      </c>
      <c r="B277" s="6" t="inlineStr">
        <is>
          <t>TR-13</t>
        </is>
      </c>
      <c r="C277" s="6" t="inlineStr">
        <is>
          <t>docs/seller-central-2026-10/TEST_RESULTS.md</t>
        </is>
      </c>
      <c r="D277" s="6" t="inlineStr">
        <is>
          <t>Manual checks (dev server on seeded demo data, Chromium)</t>
        </is>
      </c>
      <c r="E277" s="6" t="inlineStr"/>
      <c r="F277" s="6" t="inlineStr">
        <is>
          <t>8</t>
        </is>
      </c>
      <c r="G277" s="6" t="inlineStr">
        <is>
          <t>/shop for a shop pending approval: "Pending approval" pill; Action required shows the approval stage and next step | 1366 × 900</t>
        </is>
      </c>
      <c r="H277" s="6" t="inlineStr">
        <is>
          <t>Pass</t>
        </is>
      </c>
      <c r="I277" s="6" t="inlineStr">
        <is>
          <t>PASS</t>
        </is>
      </c>
    </row>
    <row r="278" ht="39" customHeight="1">
      <c r="A278" s="6" t="inlineStr">
        <is>
          <t>RES-0277</t>
        </is>
      </c>
      <c r="B278" s="6" t="inlineStr">
        <is>
          <t>TR-13</t>
        </is>
      </c>
      <c r="C278" s="6" t="inlineStr">
        <is>
          <t>docs/seller-central-2026-10/TEST_RESULTS.md</t>
        </is>
      </c>
      <c r="D278" s="6" t="inlineStr">
        <is>
          <t>Manual checks (dev server on seeded demo data, Chromium)</t>
        </is>
      </c>
      <c r="E278" s="6" t="inlineStr"/>
      <c r="F278" s="6" t="inlineStr">
        <is>
          <t>9</t>
        </is>
      </c>
      <c r="G278" s="6" t="inlineStr">
        <is>
          <t>/shop for a signed-in user with no shop: "Welcome to Seller Central" with the registration options, no sidebar | 1366 × 900</t>
        </is>
      </c>
      <c r="H278" s="6" t="inlineStr">
        <is>
          <t>Pass</t>
        </is>
      </c>
      <c r="I278" s="6" t="inlineStr">
        <is>
          <t>PASS</t>
        </is>
      </c>
    </row>
    <row r="279" ht="27" customHeight="1">
      <c r="A279" s="6" t="inlineStr">
        <is>
          <t>RES-0278</t>
        </is>
      </c>
      <c r="B279" s="6" t="inlineStr">
        <is>
          <t>TR-13</t>
        </is>
      </c>
      <c r="C279" s="6" t="inlineStr">
        <is>
          <t>docs/seller-central-2026-10/TEST_RESULTS.md</t>
        </is>
      </c>
      <c r="D279" s="6" t="inlineStr">
        <is>
          <t>Manual checks (dev server on seeded demo data, Chromium)</t>
        </is>
      </c>
      <c r="E279" s="6" t="inlineStr"/>
      <c r="F279" s="6" t="inlineStr">
        <is>
          <t>10</t>
        </is>
      </c>
      <c r="G279" s="6" t="inlineStr">
        <is>
          <t>Browser console on /shop, /shop/orders and /sell | both</t>
        </is>
      </c>
      <c r="H279" s="6" t="inlineStr">
        <is>
          <t>No errors</t>
        </is>
      </c>
      <c r="I279" s="6" t="inlineStr">
        <is>
          <t>OK (recorded)</t>
        </is>
      </c>
    </row>
    <row r="280" ht="51" customHeight="1">
      <c r="A280" s="6" t="inlineStr">
        <is>
          <t>RES-0279</t>
        </is>
      </c>
      <c r="B280" s="6" t="inlineStr">
        <is>
          <t>TR-14</t>
        </is>
      </c>
      <c r="C280" s="6" t="inlineStr">
        <is>
          <t>docs/document-upload-2026-10/TEST_RESULTS.md</t>
        </is>
      </c>
      <c r="D280" s="6" t="inlineStr">
        <is>
          <t>Automated (CI on PR #146 and locally)</t>
        </is>
      </c>
      <c r="E280" s="6" t="inlineStr"/>
      <c r="F280" s="6" t="inlineStr">
        <is>
          <t>Unit + integration (vitest, real PostgreSQL)</t>
        </is>
      </c>
      <c r="G280" s="6" t="inlineStr"/>
      <c r="H280" s="6" t="inlineStr">
        <is>
          <t>1,743 passed locally on the full suite. 5 failures there were fixed (a CI-timing budget for the new split test; the board's approved menu count) and the affected files re-run green. CI test job on the final head: pass</t>
        </is>
      </c>
      <c r="I280" s="6" t="inlineStr">
        <is>
          <t>PASS</t>
        </is>
      </c>
    </row>
    <row r="281" ht="27" customHeight="1">
      <c r="A281" s="6" t="inlineStr">
        <is>
          <t>RES-0280</t>
        </is>
      </c>
      <c r="B281" s="6" t="inlineStr">
        <is>
          <t>TR-14</t>
        </is>
      </c>
      <c r="C281" s="6" t="inlineStr">
        <is>
          <t>docs/document-upload-2026-10/TEST_RESULTS.md</t>
        </is>
      </c>
      <c r="D281" s="6" t="inlineStr">
        <is>
          <t>Automated (CI on PR #146 and locally)</t>
        </is>
      </c>
      <c r="E281" s="6" t="inlineStr"/>
      <c r="F281" s="6" t="inlineStr">
        <is>
          <t>Typecheck, lint, production build</t>
        </is>
      </c>
      <c r="G281" s="6" t="inlineStr"/>
      <c r="H281" s="6" t="inlineStr">
        <is>
          <t>pass</t>
        </is>
      </c>
      <c r="I281" s="6" t="inlineStr">
        <is>
          <t>PASS</t>
        </is>
      </c>
    </row>
    <row r="282" ht="27" customHeight="1">
      <c r="A282" s="6" t="inlineStr">
        <is>
          <t>RES-0281</t>
        </is>
      </c>
      <c r="B282" s="6" t="inlineStr">
        <is>
          <t>TR-14</t>
        </is>
      </c>
      <c r="C282" s="6" t="inlineStr">
        <is>
          <t>docs/document-upload-2026-10/TEST_RESULTS.md</t>
        </is>
      </c>
      <c r="D282" s="6" t="inlineStr">
        <is>
          <t>Automated (CI on PR #146 and locally)</t>
        </is>
      </c>
      <c r="E282" s="6" t="inlineStr"/>
      <c r="F282" s="6" t="inlineStr">
        <is>
          <t>New: document-extract (unit)</t>
        </is>
      </c>
      <c r="G282" s="6" t="inlineStr"/>
      <c r="H282" s="6" t="inlineStr">
        <is>
          <t>21/21</t>
        </is>
      </c>
      <c r="I282" s="6" t="inlineStr">
        <is>
          <t>PASS</t>
        </is>
      </c>
    </row>
    <row r="283" ht="39" customHeight="1">
      <c r="A283" s="6" t="inlineStr">
        <is>
          <t>RES-0282</t>
        </is>
      </c>
      <c r="B283" s="6" t="inlineStr">
        <is>
          <t>TR-14</t>
        </is>
      </c>
      <c r="C283" s="6" t="inlineStr">
        <is>
          <t>docs/document-upload-2026-10/TEST_RESULTS.md</t>
        </is>
      </c>
      <c r="D283" s="6" t="inlineStr">
        <is>
          <t>Automated (CI on PR #146 and locally)</t>
        </is>
      </c>
      <c r="E283" s="6" t="inlineStr"/>
      <c r="F283" s="6" t="inlineStr">
        <is>
          <t>New: document-uploads (integration, incl. real OCR + PDF)</t>
        </is>
      </c>
      <c r="G283" s="6" t="inlineStr"/>
      <c r="H283" s="6" t="inlineStr">
        <is>
          <t>16/16 (after PR #147: + reader-unavailable fallback, health check)</t>
        </is>
      </c>
      <c r="I283" s="6" t="inlineStr">
        <is>
          <t>PASS</t>
        </is>
      </c>
    </row>
    <row r="284" ht="39" customHeight="1">
      <c r="A284" s="6" t="inlineStr">
        <is>
          <t>RES-0283</t>
        </is>
      </c>
      <c r="B284" s="6" t="inlineStr">
        <is>
          <t>TR-14</t>
        </is>
      </c>
      <c r="C284" s="6" t="inlineStr">
        <is>
          <t>docs/document-upload-2026-10/TEST_RESULTS.md</t>
        </is>
      </c>
      <c r="D284" s="6" t="inlineStr">
        <is>
          <t>Automated (CI on PR #146 and locally)</t>
        </is>
      </c>
      <c r="E284" s="6" t="inlineStr"/>
      <c r="F284" s="6" t="inlineStr">
        <is>
          <t>New: db-split (integration, two real DBs + postgres_fdw)</t>
        </is>
      </c>
      <c r="G284" s="6" t="inlineStr"/>
      <c r="H284" s="6" t="inlineStr">
        <is>
          <t>5/5</t>
        </is>
      </c>
      <c r="I284" s="6" t="inlineStr">
        <is>
          <t>PASS</t>
        </is>
      </c>
    </row>
    <row r="285" ht="27" customHeight="1">
      <c r="A285" s="6" t="inlineStr">
        <is>
          <t>RES-0284</t>
        </is>
      </c>
      <c r="B285" s="6" t="inlineStr">
        <is>
          <t>TR-14</t>
        </is>
      </c>
      <c r="C285" s="6" t="inlineStr">
        <is>
          <t>docs/document-upload-2026-10/TEST_RESULTS.md</t>
        </is>
      </c>
      <c r="D285" s="6" t="inlineStr">
        <is>
          <t>Automated (CI on PR #146 and locally)</t>
        </is>
      </c>
      <c r="E285" s="6" t="inlineStr"/>
      <c r="F285" s="6" t="inlineStr">
        <is>
          <t>New: db-split-ownership, email-brand, tile-board</t>
        </is>
      </c>
      <c r="G285" s="6" t="inlineStr"/>
      <c r="H285" s="6" t="inlineStr">
        <is>
          <t>3/3, 3/3, 39/39</t>
        </is>
      </c>
      <c r="I285" s="6" t="inlineStr">
        <is>
          <t>PASS</t>
        </is>
      </c>
    </row>
    <row r="286" ht="27" customHeight="1">
      <c r="A286" s="6" t="inlineStr">
        <is>
          <t>RES-0285</t>
        </is>
      </c>
      <c r="B286" s="6" t="inlineStr">
        <is>
          <t>TR-14</t>
        </is>
      </c>
      <c r="C286" s="6" t="inlineStr">
        <is>
          <t>docs/document-upload-2026-10/TEST_RESULTS.md</t>
        </is>
      </c>
      <c r="D286" s="6" t="inlineStr">
        <is>
          <t>Automated (CI on PR #146 and locally)</t>
        </is>
      </c>
      <c r="E286" s="6" t="inlineStr"/>
      <c r="F286" s="6" t="inlineStr">
        <is>
          <t>E2E branding/footer — local production build</t>
        </is>
      </c>
      <c r="G286" s="6" t="inlineStr"/>
      <c r="H286" s="6" t="inlineStr">
        <is>
          <t>16/16</t>
        </is>
      </c>
      <c r="I286" s="6" t="inlineStr">
        <is>
          <t>PASS</t>
        </is>
      </c>
    </row>
    <row r="287" ht="99" customHeight="1">
      <c r="A287" s="6" t="inlineStr">
        <is>
          <t>RES-0286</t>
        </is>
      </c>
      <c r="B287" s="6" t="inlineStr">
        <is>
          <t>TR-14</t>
        </is>
      </c>
      <c r="C287" s="6" t="inlineStr">
        <is>
          <t>docs/document-upload-2026-10/TEST_RESULTS.md</t>
        </is>
      </c>
      <c r="D287" s="6" t="inlineStr">
        <is>
          <t>Automated (CI on PR #146 and locally)</t>
        </is>
      </c>
      <c r="E287" s="6" t="inlineStr"/>
      <c r="F287" s="6" t="inlineStr">
        <is>
          <t>E2E lifecycle regression (regression-items-a-e) — local production build</t>
        </is>
      </c>
      <c r="G287" s="6" t="inlineStr"/>
      <c r="H287" s="6" t="inlineStr">
        <is>
          <t>21/21: order → accept → pack → rider → delivery code → delivered (wallet charged once); cancellations and refunds; open-order prompt; societies; rider KYC; vouchers; returns; slots; batching; invoices; delivery photos; acceptance timeout; crons; access control. Two of its steps had gone stale before this work (settings page became a searchable list; shop contact card moved in Seller Central) and were left out; two others were refreshed (delivery code stored hashed since 0059; cart asks "Yes, cancel it")</t>
        </is>
      </c>
      <c r="I287" s="6" t="inlineStr">
        <is>
          <t>PASS</t>
        </is>
      </c>
    </row>
    <row r="288" ht="39" customHeight="1">
      <c r="A288" s="6" t="inlineStr">
        <is>
          <t>RES-0287</t>
        </is>
      </c>
      <c r="B288" s="6" t="inlineStr">
        <is>
          <t>TR-14</t>
        </is>
      </c>
      <c r="C288" s="6" t="inlineStr">
        <is>
          <t>docs/document-upload-2026-10/TEST_RESULTS.md</t>
        </is>
      </c>
      <c r="D288" s="6" t="inlineStr">
        <is>
          <t>Automated (CI on PR #146 and locally)</t>
        </is>
      </c>
      <c r="E288" s="6" t="inlineStr"/>
      <c r="F288" s="6" t="inlineStr">
        <is>
          <t>Browser flow on the local production build (/shop/documents, phone)</t>
        </is>
      </c>
      <c r="G288" s="6" t="inlineStr"/>
      <c r="H288" s="6" t="inlineStr">
        <is>
          <t>expired FSSAI photo → EXPIRED flag, submit refused; valid licence → OCR 93 %, number/name/address/expiry pre-filled → Verify &amp; Approve → CONFIRMED, FSSAI banner cleared</t>
        </is>
      </c>
      <c r="I288" s="6" t="inlineStr">
        <is>
          <t>OK (recorded)</t>
        </is>
      </c>
    </row>
    <row r="289" ht="27" customHeight="1">
      <c r="A289" s="6" t="inlineStr">
        <is>
          <t>RES-0288</t>
        </is>
      </c>
      <c r="B289" s="6" t="inlineStr">
        <is>
          <t>TR-14</t>
        </is>
      </c>
      <c r="C289" s="6" t="inlineStr">
        <is>
          <t>docs/document-upload-2026-10/TEST_RESULTS.md</t>
        </is>
      </c>
      <c r="D289" s="6" t="inlineStr">
        <is>
          <t>Automated (CI on PR #146 and locally)</t>
        </is>
      </c>
      <c r="E289" s="6" t="inlineStr"/>
      <c r="F289" s="6" t="inlineStr">
        <is>
          <t>DB split CLI on a local copy</t>
        </is>
      </c>
      <c r="G289" s="6" t="inlineStr"/>
      <c r="H289" s="6" t="inlineStr">
        <is>
          <t>190 tables (90 seller, 100 customer/core), 1,885 rows, every checksum equal, 0 broken cross-database links (SAMPLE_VERIFICATION_REPORT_local.md)</t>
        </is>
      </c>
      <c r="I289" s="6" t="inlineStr">
        <is>
          <t>OK (recorded)</t>
        </is>
      </c>
    </row>
    <row r="290" ht="27" customHeight="1">
      <c r="A290" s="6" t="inlineStr">
        <is>
          <t>RES-0289</t>
        </is>
      </c>
      <c r="B290" s="6" t="inlineStr">
        <is>
          <t>TR-15</t>
        </is>
      </c>
      <c r="C290" s="6" t="inlineStr">
        <is>
          <t>docs/document-upload-2026-10/TEST_RESULTS.md</t>
        </is>
      </c>
      <c r="D290" s="6" t="inlineStr">
        <is>
          <t>Staging (test.gokesari.com), 03:44–03:58 UTC</t>
        </is>
      </c>
      <c r="E290" s="6" t="inlineStr">
        <is>
          <t>03:45</t>
        </is>
      </c>
      <c r="F290" s="6" t="inlineStr"/>
      <c r="G290" s="6" t="inlineStr">
        <is>
          <t>"Test database" workflow run 38343142041: backup → migrate (0075) → verify</t>
        </is>
      </c>
      <c r="H290" s="6" t="inlineStr">
        <is>
          <t>PASS</t>
        </is>
      </c>
      <c r="I290" s="6" t="inlineStr">
        <is>
          <t>PASS</t>
        </is>
      </c>
    </row>
    <row r="291" ht="27" customHeight="1">
      <c r="A291" s="6" t="inlineStr">
        <is>
          <t>RES-0290</t>
        </is>
      </c>
      <c r="B291" s="6" t="inlineStr">
        <is>
          <t>TR-15</t>
        </is>
      </c>
      <c r="C291" s="6" t="inlineStr">
        <is>
          <t>docs/document-upload-2026-10/TEST_RESULTS.md</t>
        </is>
      </c>
      <c r="D291" s="6" t="inlineStr">
        <is>
          <t>Staging (test.gokesari.com), 03:44–03:58 UTC</t>
        </is>
      </c>
      <c r="E291" s="6" t="inlineStr">
        <is>
          <t>03:47</t>
        </is>
      </c>
      <c r="F291" s="6" t="inlineStr"/>
      <c r="G291" s="6" t="inlineStr">
        <is>
          <t>New build live (sign-in page carries the wordmark)</t>
        </is>
      </c>
      <c r="H291" s="6" t="inlineStr">
        <is>
          <t>PASS</t>
        </is>
      </c>
      <c r="I291" s="6" t="inlineStr">
        <is>
          <t>PASS</t>
        </is>
      </c>
    </row>
    <row r="292" ht="27" customHeight="1">
      <c r="A292" s="6" t="inlineStr">
        <is>
          <t>RES-0291</t>
        </is>
      </c>
      <c r="B292" s="6" t="inlineStr">
        <is>
          <t>TR-15</t>
        </is>
      </c>
      <c r="C292" s="6" t="inlineStr">
        <is>
          <t>docs/document-upload-2026-10/TEST_RESULTS.md</t>
        </is>
      </c>
      <c r="D292" s="6" t="inlineStr">
        <is>
          <t>Staging (test.gokesari.com), 03:44–03:58 UTC</t>
        </is>
      </c>
      <c r="E292" s="6" t="inlineStr">
        <is>
          <t>03:48</t>
        </is>
      </c>
      <c r="F292" s="6" t="inlineStr"/>
      <c r="G292" s="6" t="inlineStr">
        <is>
          <t>E2E branding/footer, desktop + phone, Chromium + mobile profiles</t>
        </is>
      </c>
      <c r="H292" s="6" t="inlineStr">
        <is>
          <t>16/16 PASS</t>
        </is>
      </c>
      <c r="I292" s="6" t="inlineStr">
        <is>
          <t>PASS</t>
        </is>
      </c>
    </row>
    <row r="293" ht="27" customHeight="1">
      <c r="A293" s="6" t="inlineStr">
        <is>
          <t>RES-0292</t>
        </is>
      </c>
      <c r="B293" s="6" t="inlineStr">
        <is>
          <t>TR-15</t>
        </is>
      </c>
      <c r="C293" s="6" t="inlineStr">
        <is>
          <t>docs/document-upload-2026-10/TEST_RESULTS.md</t>
        </is>
      </c>
      <c r="D293" s="6" t="inlineStr">
        <is>
          <t>Staging (test.gokesari.com), 03:44–03:58 UTC</t>
        </is>
      </c>
      <c r="E293" s="6" t="inlineStr">
        <is>
          <t>03:51</t>
        </is>
      </c>
      <c r="F293" s="6" t="inlineStr"/>
      <c r="G293" s="6" t="inlineStr">
        <is>
          <t>Sign-in code email (sanjaymorankar+gk-shop) opens with "GoKesari · Everything for Everyone"</t>
        </is>
      </c>
      <c r="H293" s="6" t="inlineStr">
        <is>
          <t>PASS</t>
        </is>
      </c>
      <c r="I293" s="6" t="inlineStr">
        <is>
          <t>PASS</t>
        </is>
      </c>
    </row>
    <row r="294" ht="27" customHeight="1">
      <c r="A294" s="6" t="inlineStr">
        <is>
          <t>RES-0293</t>
        </is>
      </c>
      <c r="B294" s="6" t="inlineStr">
        <is>
          <t>TR-15</t>
        </is>
      </c>
      <c r="C294" s="6" t="inlineStr">
        <is>
          <t>docs/document-upload-2026-10/TEST_RESULTS.md</t>
        </is>
      </c>
      <c r="D294" s="6" t="inlineStr">
        <is>
          <t>Staging (test.gokesari.com), 03:44–03:58 UTC</t>
        </is>
      </c>
      <c r="E294" s="6" t="inlineStr">
        <is>
          <t>03:52</t>
        </is>
      </c>
      <c r="F294" s="6" t="inlineStr"/>
      <c r="G294" s="6" t="inlineStr">
        <is>
          <t>Shop owner signs in; /shop/documents for a non-food shop: PAN, GSTIN, Udyam (optional), Shop Act — no FSSAI card</t>
        </is>
      </c>
      <c r="H294" s="6" t="inlineStr">
        <is>
          <t>PASS (correct: not a food shop)</t>
        </is>
      </c>
      <c r="I294" s="6" t="inlineStr">
        <is>
          <t>PASS</t>
        </is>
      </c>
    </row>
    <row r="295" ht="27" customHeight="1">
      <c r="A295" s="6" t="inlineStr">
        <is>
          <t>RES-0294</t>
        </is>
      </c>
      <c r="B295" s="6" t="inlineStr">
        <is>
          <t>TR-15</t>
        </is>
      </c>
      <c r="C295" s="6" t="inlineStr">
        <is>
          <t>docs/document-upload-2026-10/TEST_RESULTS.md</t>
        </is>
      </c>
      <c r="D295" s="6" t="inlineStr">
        <is>
          <t>Staging (test.gokesari.com), 03:44–03:58 UTC</t>
        </is>
      </c>
      <c r="E295" s="6" t="inlineStr">
        <is>
          <t>03:54</t>
        </is>
      </c>
      <c r="F295" s="6" t="inlineStr"/>
      <c r="G295" s="6" t="inlineStr">
        <is>
          <t>/shop/documents for E2E Four Features Bakery (food): FSSAI card present</t>
        </is>
      </c>
      <c r="H295" s="6" t="inlineStr">
        <is>
          <t>PASS</t>
        </is>
      </c>
      <c r="I295" s="6" t="inlineStr">
        <is>
          <t>PASS</t>
        </is>
      </c>
    </row>
    <row r="296" ht="27" customHeight="1">
      <c r="A296" s="6" t="inlineStr">
        <is>
          <t>RES-0295</t>
        </is>
      </c>
      <c r="B296" s="6" t="inlineStr">
        <is>
          <t>TR-15</t>
        </is>
      </c>
      <c r="C296" s="6" t="inlineStr">
        <is>
          <t>docs/document-upload-2026-10/TEST_RESULTS.md</t>
        </is>
      </c>
      <c r="D296" s="6" t="inlineStr">
        <is>
          <t>Staging (test.gokesari.com), 03:44–03:58 UTC</t>
        </is>
      </c>
      <c r="E296" s="6" t="inlineStr">
        <is>
          <t>03:52</t>
        </is>
      </c>
      <c r="F296" s="6" t="inlineStr"/>
      <c r="G296" s="6" t="inlineStr">
        <is>
          <t>Admin signs in; /admin/document-uploads loads</t>
        </is>
      </c>
      <c r="H296" s="6" t="inlineStr">
        <is>
          <t>PASS</t>
        </is>
      </c>
      <c r="I296" s="6" t="inlineStr">
        <is>
          <t>PASS</t>
        </is>
      </c>
    </row>
    <row r="297" ht="51" customHeight="1">
      <c r="A297" s="6" t="inlineStr">
        <is>
          <t>RES-0296</t>
        </is>
      </c>
      <c r="B297" s="6" t="inlineStr">
        <is>
          <t>TR-15</t>
        </is>
      </c>
      <c r="C297" s="6" t="inlineStr">
        <is>
          <t>docs/document-upload-2026-10/TEST_RESULTS.md</t>
        </is>
      </c>
      <c r="D297" s="6" t="inlineStr">
        <is>
          <t>Staging (test.gokesari.com), 03:44–03:58 UTC</t>
        </is>
      </c>
      <c r="E297" s="6" t="inlineStr">
        <is>
          <t>03:58</t>
        </is>
      </c>
      <c r="F297" s="6" t="inlineStr"/>
      <c r="G297" s="6" t="inlineStr">
        <is>
          <t>Photo upload → POST /documents/read</t>
        </is>
      </c>
      <c r="H297" s="6" t="inlineStr">
        <is>
          <t>FAIL — 504 Gateway Time-out at 60 s. Same read is ~1 s locally/CI. Fix in PR #147: 25 s limit, then "type the details" (NOT_READ) instead of an error; admin health check GET /api/admin/document-reader to find the host cause</t>
        </is>
      </c>
      <c r="I297" s="6" t="inlineStr">
        <is>
          <t>FAIL</t>
        </is>
      </c>
    </row>
    <row r="298" ht="27" customHeight="1">
      <c r="A298" s="6" t="inlineStr">
        <is>
          <t>RES-0297</t>
        </is>
      </c>
      <c r="B298" s="6" t="inlineStr">
        <is>
          <t>TR-16</t>
        </is>
      </c>
      <c r="C298" s="6" t="inlineStr">
        <is>
          <t>docs/document-upload-2026-10/TEST_RESULTS.md</t>
        </is>
      </c>
      <c r="D298" s="6" t="inlineStr">
        <is>
          <t>Staging re-check after PRs #147 and #148, 05:33–06:17 UTC</t>
        </is>
      </c>
      <c r="E298" s="6" t="inlineStr">
        <is>
          <t>05:33</t>
        </is>
      </c>
      <c r="F298" s="6" t="inlineStr"/>
      <c r="G298" s="6" t="inlineStr">
        <is>
          <t>Admin /admin/document-uploads lists the earlier uploads</t>
        </is>
      </c>
      <c r="H298" s="6" t="inlineStr">
        <is>
          <t>PASS (2 rows)</t>
        </is>
      </c>
      <c r="I298" s="6" t="inlineStr">
        <is>
          <t>PASS</t>
        </is>
      </c>
    </row>
    <row r="299" ht="27" customHeight="1">
      <c r="A299" s="6" t="inlineStr">
        <is>
          <t>RES-0298</t>
        </is>
      </c>
      <c r="B299" s="6" t="inlineStr">
        <is>
          <t>TR-16</t>
        </is>
      </c>
      <c r="C299" s="6" t="inlineStr">
        <is>
          <t>docs/document-upload-2026-10/TEST_RESULTS.md</t>
        </is>
      </c>
      <c r="D299" s="6" t="inlineStr">
        <is>
          <t>Staging re-check after PRs #147 and #148, 05:33–06:17 UTC</t>
        </is>
      </c>
      <c r="E299" s="6" t="inlineStr">
        <is>
          <t>05:33</t>
        </is>
      </c>
      <c r="F299" s="6" t="inlineStr"/>
      <c r="G299" s="6" t="inlineStr">
        <is>
          <t>Reader health GET /api/admin/document-reader (after #147)</t>
        </is>
      </c>
      <c r="H299" s="6" t="inlineStr">
        <is>
          <t>FAIL at "find language model": the model file was not in the Hostinger bundle → PR #148 ships it</t>
        </is>
      </c>
      <c r="I299" s="6" t="inlineStr">
        <is>
          <t>FAIL</t>
        </is>
      </c>
    </row>
    <row r="300" ht="27" customHeight="1">
      <c r="A300" s="6" t="inlineStr">
        <is>
          <t>RES-0299</t>
        </is>
      </c>
      <c r="B300" s="6" t="inlineStr">
        <is>
          <t>TR-16</t>
        </is>
      </c>
      <c r="C300" s="6" t="inlineStr">
        <is>
          <t>docs/document-upload-2026-10/TEST_RESULTS.md</t>
        </is>
      </c>
      <c r="D300" s="6" t="inlineStr">
        <is>
          <t>Staging re-check after PRs #147 and #148, 05:33–06:17 UTC</t>
        </is>
      </c>
      <c r="E300" s="6" t="inlineStr">
        <is>
          <t>06:15</t>
        </is>
      </c>
      <c r="F300" s="6" t="inlineStr"/>
      <c r="G300" s="6" t="inlineStr">
        <is>
          <t>Reader health after #148</t>
        </is>
      </c>
      <c r="H300" s="6" t="inlineStr">
        <is>
          <t>model found, OCR engine loads; "start OCR worker" times out at 45 s on Hostinger (open item below)</t>
        </is>
      </c>
      <c r="I300" s="6" t="inlineStr">
        <is>
          <t>FAIL</t>
        </is>
      </c>
    </row>
    <row r="301" ht="27" customHeight="1">
      <c r="A301" s="6" t="inlineStr">
        <is>
          <t>RES-0300</t>
        </is>
      </c>
      <c r="B301" s="6" t="inlineStr">
        <is>
          <t>TR-16</t>
        </is>
      </c>
      <c r="C301" s="6" t="inlineStr">
        <is>
          <t>docs/document-upload-2026-10/TEST_RESULTS.md</t>
        </is>
      </c>
      <c r="D301" s="6" t="inlineStr">
        <is>
          <t>Staging re-check after PRs #147 and #148, 05:33–06:17 UTC</t>
        </is>
      </c>
      <c r="E301" s="6" t="inlineStr">
        <is>
          <t>06:16</t>
        </is>
      </c>
      <c r="F301" s="6" t="inlineStr"/>
      <c r="G301" s="6" t="inlineStr">
        <is>
          <t>Bakery owner uploads an FSSAI photo → POST /documents/read</t>
        </is>
      </c>
      <c r="H301" s="6" t="inlineStr">
        <is>
          <t>PASS — 201 in 31 s (was 504): NOT_READ flag, empty fields, "type the details exactly as printed"</t>
        </is>
      </c>
      <c r="I301" s="6" t="inlineStr">
        <is>
          <t>PASS</t>
        </is>
      </c>
    </row>
    <row r="302" ht="27" customHeight="1">
      <c r="A302" s="6" t="inlineStr">
        <is>
          <t>RES-0301</t>
        </is>
      </c>
      <c r="B302" s="6" t="inlineStr">
        <is>
          <t>TR-16</t>
        </is>
      </c>
      <c r="C302" s="6" t="inlineStr">
        <is>
          <t>docs/document-upload-2026-10/TEST_RESULTS.md</t>
        </is>
      </c>
      <c r="D302" s="6" t="inlineStr">
        <is>
          <t>Staging re-check after PRs #147 and #148, 05:33–06:17 UTC</t>
        </is>
      </c>
      <c r="E302" s="6" t="inlineStr">
        <is>
          <t>06:17</t>
        </is>
      </c>
      <c r="F302" s="6" t="inlineStr"/>
      <c r="G302" s="6" t="inlineStr">
        <is>
          <t>Owner types the details → Verify &amp; Approve</t>
        </is>
      </c>
      <c r="H302" s="6" t="inlineStr">
        <is>
          <t>PASS — CONFIRMED. Also on staging: an expired licence typed in is refused (422)</t>
        </is>
      </c>
      <c r="I302" s="6" t="inlineStr">
        <is>
          <t>PASS</t>
        </is>
      </c>
    </row>
    <row r="303" ht="27" customHeight="1">
      <c r="A303" s="6" t="inlineStr">
        <is>
          <t>RES-0302</t>
        </is>
      </c>
      <c r="B303" s="6" t="inlineStr">
        <is>
          <t>TR-16</t>
        </is>
      </c>
      <c r="C303" s="6" t="inlineStr">
        <is>
          <t>docs/document-upload-2026-10/TEST_RESULTS.md</t>
        </is>
      </c>
      <c r="D303" s="6" t="inlineStr">
        <is>
          <t>Staging re-check after PRs #147 and #148, 05:33–06:17 UTC</t>
        </is>
      </c>
      <c r="E303" s="6" t="inlineStr">
        <is>
          <t>06:37</t>
        </is>
      </c>
      <c r="F303" s="6" t="inlineStr"/>
      <c r="G303" s="6" t="inlineStr">
        <is>
          <t>CI on the release PR #149 (test, scope)</t>
        </is>
      </c>
      <c r="H303" s="6" t="inlineStr">
        <is>
          <t>PASS</t>
        </is>
      </c>
      <c r="I303" s="6" t="inlineStr">
        <is>
          <t>PASS</t>
        </is>
      </c>
    </row>
    <row r="304" ht="27" customHeight="1">
      <c r="A304" s="6" t="inlineStr">
        <is>
          <t>RES-0303</t>
        </is>
      </c>
      <c r="B304" s="6" t="inlineStr">
        <is>
          <t>TR-17</t>
        </is>
      </c>
      <c r="C304" s="6" t="inlineStr">
        <is>
          <t>docs/document-upload-2026-10/TEST_RESULTS.md</t>
        </is>
      </c>
      <c r="D304" s="6" t="inlineStr">
        <is>
          <t>Production (gokesari.com), 13 Oct, 06:39–06:55 UTC</t>
        </is>
      </c>
      <c r="E304" s="6" t="inlineStr">
        <is>
          <t>06:39</t>
        </is>
      </c>
      <c r="F304" s="6" t="inlineStr"/>
      <c r="G304" s="6" t="inlineStr">
        <is>
          <t>Baseline before deploy: /, /shops, /search, /categories, /signin, /sell, /legal/privacy-policy, /api/referral-settings</t>
        </is>
      </c>
      <c r="H304" s="6" t="inlineStr">
        <is>
          <t>all 200; new routes 404 (old build)</t>
        </is>
      </c>
      <c r="I304" s="6" t="inlineStr">
        <is>
          <t>OK (recorded)</t>
        </is>
      </c>
    </row>
    <row r="305" ht="39" customHeight="1">
      <c r="A305" s="6" t="inlineStr">
        <is>
          <t>RES-0304</t>
        </is>
      </c>
      <c r="B305" s="6" t="inlineStr">
        <is>
          <t>TR-17</t>
        </is>
      </c>
      <c r="C305" s="6" t="inlineStr">
        <is>
          <t>docs/document-upload-2026-10/TEST_RESULTS.md</t>
        </is>
      </c>
      <c r="D305" s="6" t="inlineStr">
        <is>
          <t>Production (gokesari.com), 13 Oct, 06:39–06:55 UTC</t>
        </is>
      </c>
      <c r="E305" s="6" t="inlineStr">
        <is>
          <t>06:42</t>
        </is>
      </c>
      <c r="F305" s="6" t="inlineStr"/>
      <c r="G305" s="6" t="inlineStr">
        <is>
          <t>New build live, 3 min after merge. Hostinger applied migration 0075 in the build (MIGRATE_ON_BUILD); a failed migration would have kept the old build</t>
        </is>
      </c>
      <c r="H305" s="6" t="inlineStr">
        <is>
          <t>PASS</t>
        </is>
      </c>
      <c r="I305" s="6" t="inlineStr">
        <is>
          <t>PASS</t>
        </is>
      </c>
    </row>
    <row r="306" ht="27" customHeight="1">
      <c r="A306" s="6" t="inlineStr">
        <is>
          <t>RES-0305</t>
        </is>
      </c>
      <c r="B306" s="6" t="inlineStr">
        <is>
          <t>TR-17</t>
        </is>
      </c>
      <c r="C306" s="6" t="inlineStr">
        <is>
          <t>docs/document-upload-2026-10/TEST_RESULTS.md</t>
        </is>
      </c>
      <c r="D306" s="6" t="inlineStr">
        <is>
          <t>Production (gokesari.com), 13 Oct, 06:39–06:55 UTC</t>
        </is>
      </c>
      <c r="E306" s="6" t="inlineStr">
        <is>
          <t>06:43</t>
        </is>
      </c>
      <c r="F306" s="6" t="inlineStr"/>
      <c r="G306" s="6" t="inlineStr">
        <is>
          <t>Same 8 pages after deploy</t>
        </is>
      </c>
      <c r="H306" s="6" t="inlineStr">
        <is>
          <t>all 200</t>
        </is>
      </c>
      <c r="I306" s="6" t="inlineStr">
        <is>
          <t>OK (recorded)</t>
        </is>
      </c>
    </row>
    <row r="307" ht="27" customHeight="1">
      <c r="A307" s="6" t="inlineStr">
        <is>
          <t>RES-0306</t>
        </is>
      </c>
      <c r="B307" s="6" t="inlineStr">
        <is>
          <t>TR-17</t>
        </is>
      </c>
      <c r="C307" s="6" t="inlineStr">
        <is>
          <t>docs/document-upload-2026-10/TEST_RESULTS.md</t>
        </is>
      </c>
      <c r="D307" s="6" t="inlineStr">
        <is>
          <t>Production (gokesari.com), 13 Oct, 06:39–06:55 UTC</t>
        </is>
      </c>
      <c r="E307" s="6" t="inlineStr">
        <is>
          <t>06:43</t>
        </is>
      </c>
      <c r="F307" s="6" t="inlineStr"/>
      <c r="G307" s="6" t="inlineStr">
        <is>
          <t>/shop/documents, /admin/document-uploads</t>
        </is>
      </c>
      <c r="H307" s="6" t="inlineStr">
        <is>
          <t>307 → sign-in (correct when signed out)</t>
        </is>
      </c>
      <c r="I307" s="6" t="inlineStr">
        <is>
          <t>OK (recorded)</t>
        </is>
      </c>
    </row>
    <row r="308" ht="27" customHeight="1">
      <c r="A308" s="6" t="inlineStr">
        <is>
          <t>RES-0307</t>
        </is>
      </c>
      <c r="B308" s="6" t="inlineStr">
        <is>
          <t>TR-17</t>
        </is>
      </c>
      <c r="C308" s="6" t="inlineStr">
        <is>
          <t>docs/document-upload-2026-10/TEST_RESULTS.md</t>
        </is>
      </c>
      <c r="D308" s="6" t="inlineStr">
        <is>
          <t>Production (gokesari.com), 13 Oct, 06:39–06:55 UTC</t>
        </is>
      </c>
      <c r="E308" s="6" t="inlineStr">
        <is>
          <t>06:43</t>
        </is>
      </c>
      <c r="F308" s="6" t="inlineStr"/>
      <c r="G308" s="6" t="inlineStr">
        <is>
          <t>/api/admin/document-reader, /api/shops/…/documents</t>
        </is>
      </c>
      <c r="H308" s="6" t="inlineStr">
        <is>
          <t>401 (correct when signed out)</t>
        </is>
      </c>
      <c r="I308" s="6" t="inlineStr">
        <is>
          <t>OK (recorded)</t>
        </is>
      </c>
    </row>
    <row r="309" ht="27" customHeight="1">
      <c r="A309" s="6" t="inlineStr">
        <is>
          <t>RES-0308</t>
        </is>
      </c>
      <c r="B309" s="6" t="inlineStr">
        <is>
          <t>TR-17</t>
        </is>
      </c>
      <c r="C309" s="6" t="inlineStr">
        <is>
          <t>docs/document-upload-2026-10/TEST_RESULTS.md</t>
        </is>
      </c>
      <c r="D309" s="6" t="inlineStr">
        <is>
          <t>Production (gokesari.com), 13 Oct, 06:39–06:55 UTC</t>
        </is>
      </c>
      <c r="E309" s="6" t="inlineStr">
        <is>
          <t>06:43</t>
        </is>
      </c>
      <c r="F309" s="6" t="inlineStr"/>
      <c r="G309" s="6" t="inlineStr">
        <is>
          <t>Home page HTML: wordmark, "Go", "Kesari", tagline, company/GSTIN line</t>
        </is>
      </c>
      <c r="H309" s="6" t="inlineStr">
        <is>
          <t>present</t>
        </is>
      </c>
      <c r="I309" s="6" t="inlineStr">
        <is>
          <t>OK (recorded)</t>
        </is>
      </c>
    </row>
    <row r="310" ht="27" customHeight="1">
      <c r="A310" s="6" t="inlineStr">
        <is>
          <t>RES-0309</t>
        </is>
      </c>
      <c r="B310" s="6" t="inlineStr">
        <is>
          <t>TR-17</t>
        </is>
      </c>
      <c r="C310" s="6" t="inlineStr">
        <is>
          <t>docs/document-upload-2026-10/TEST_RESULTS.md</t>
        </is>
      </c>
      <c r="D310" s="6" t="inlineStr">
        <is>
          <t>Production (gokesari.com), 13 Oct, 06:39–06:55 UTC</t>
        </is>
      </c>
      <c r="E310" s="6" t="inlineStr">
        <is>
          <t>06:45</t>
        </is>
      </c>
      <c r="F310" s="6" t="inlineStr"/>
      <c r="G310" s="6" t="inlineStr">
        <is>
          <t>E2E branding/footer, desktop + phone, Chromium + mobile profiles</t>
        </is>
      </c>
      <c r="H310" s="6" t="inlineStr">
        <is>
          <t>16/16 PASS</t>
        </is>
      </c>
      <c r="I310" s="6" t="inlineStr">
        <is>
          <t>PASS</t>
        </is>
      </c>
    </row>
    <row r="311" ht="27" customHeight="1">
      <c r="A311" s="6" t="inlineStr">
        <is>
          <t>RES-0310</t>
        </is>
      </c>
      <c r="B311" s="6" t="inlineStr">
        <is>
          <t>TR-17</t>
        </is>
      </c>
      <c r="C311" s="6" t="inlineStr">
        <is>
          <t>docs/document-upload-2026-10/TEST_RESULTS.md</t>
        </is>
      </c>
      <c r="D311" s="6" t="inlineStr">
        <is>
          <t>Production (gokesari.com), 13 Oct, 06:39–06:55 UTC</t>
        </is>
      </c>
      <c r="E311" s="6" t="inlineStr">
        <is>
          <t>06:50</t>
        </is>
      </c>
      <c r="F311" s="6" t="inlineStr"/>
      <c r="G311" s="6" t="inlineStr">
        <is>
          <t>Screenshots, desktop and Pixel 7</t>
        </is>
      </c>
      <c r="H311" s="6" t="inlineStr">
        <is>
          <t>header and footer correct, except one line on a 412 px phone starting with a stray "·" (below)</t>
        </is>
      </c>
      <c r="I311" s="6" t="inlineStr">
        <is>
          <t>FAIL</t>
        </is>
      </c>
    </row>
  </sheetData>
  <autoFilter ref="A1:I311"/>
  <conditionalFormatting sqref="I2:I311">
    <cfRule type="cellIs" priority="1" operator="equal" dxfId="0">
      <formula>"PASS"</formula>
    </cfRule>
    <cfRule type="cellIs" priority="2" operator="equal" dxfId="4">
      <formula>"OK (recorded)"</formula>
    </cfRule>
    <cfRule type="cellIs" priority="3" operator="equal" dxfId="2">
      <formula>"FAIL"</formula>
    </cfRule>
    <cfRule type="cellIs" priority="4" operator="equal" dxfId="1">
      <formula>"BLOCKED"</formula>
    </cfRule>
    <cfRule type="cellIs" priority="5" operator="equal" dxfId="3">
      <formula>"NOT RUN"</formula>
    </cfRule>
    <cfRule type="cellIs" priority="6" operator="equal" dxfId="1">
      <formula>"ISSUE"</formula>
    </cfRule>
  </conditionalFormatting>
  <dataValidations count="1">
    <dataValidation sqref="I2:I311" showDropDown="0" showInputMessage="0" showErrorMessage="0" allowBlank="0" type="list">
      <formula1>"PASS,OK (recorded),FAIL,BLOCKED,NOT RUN,ISSUE"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60" customWidth="1" min="4" max="4"/>
    <col width="13" customWidth="1" min="5" max="5"/>
    <col width="16" customWidth="1" min="6" max="6"/>
    <col width="55" customWidth="1" min="7" max="7"/>
  </cols>
  <sheetData>
    <row r="1" ht="30" customHeight="1">
      <c r="A1" s="4" t="inlineStr">
        <is>
          <t>Defect</t>
        </is>
      </c>
      <c r="B1" s="4" t="inlineStr">
        <is>
          <t>Found in run</t>
        </is>
      </c>
      <c r="C1" s="4" t="inlineStr">
        <is>
          <t>Feature IDs</t>
        </is>
      </c>
      <c r="D1" s="4" t="inlineStr">
        <is>
          <t>What</t>
        </is>
      </c>
      <c r="E1" s="4" t="inlineStr">
        <is>
          <t>Status</t>
        </is>
      </c>
      <c r="F1" s="4" t="inlineStr">
        <is>
          <t>Fixed in PR</t>
        </is>
      </c>
      <c r="G1" s="4" t="inlineStr">
        <is>
          <t>Notes</t>
        </is>
      </c>
    </row>
    <row r="2" ht="15" customHeight="1">
      <c r="A2" s="5" t="inlineStr">
        <is>
          <t>D-01</t>
        </is>
      </c>
      <c r="B2" s="6" t="inlineStr">
        <is>
          <t>TR-02</t>
        </is>
      </c>
      <c r="C2" s="6" t="inlineStr">
        <is>
          <t>NEW-039</t>
        </is>
      </c>
      <c r="D2" s="6" t="inlineStr">
        <is>
          <t>A repeated 'Packed - mark ready' (double tap / retry) answered 409</t>
        </is>
      </c>
      <c r="E2" s="6" t="inlineStr">
        <is>
          <t>Fixed</t>
        </is>
      </c>
      <c r="F2" s="6" t="inlineStr">
        <is>
          <t>#103</t>
        </is>
      </c>
      <c r="G2" s="6" t="inlineStr">
        <is>
          <t>Re-checked in TR-03: 200, 200, one event, one charge</t>
        </is>
      </c>
    </row>
    <row r="3" ht="15" customHeight="1">
      <c r="A3" s="5" t="inlineStr">
        <is>
          <t>D-02</t>
        </is>
      </c>
      <c r="B3" s="6" t="inlineStr">
        <is>
          <t>TR-02</t>
        </is>
      </c>
      <c r="C3" s="6" t="inlineStr">
        <is>
          <t>NEW-041</t>
        </is>
      </c>
      <c r="D3" s="6" t="inlineStr">
        <is>
          <t>Rs 1 refund stayed 'refund pending' after Cashfree accepted it</t>
        </is>
      </c>
      <c r="E3" s="6" t="inlineStr">
        <is>
          <t>Fixed</t>
        </is>
      </c>
      <c r="F3" s="6" t="inlineStr">
        <is>
          <t>#103</t>
        </is>
      </c>
      <c r="G3" s="6" t="inlineStr">
        <is>
          <t>Re-checked in TR-03: 'refunded'</t>
        </is>
      </c>
    </row>
    <row r="4" ht="27" customHeight="1">
      <c r="A4" s="5" t="inlineStr">
        <is>
          <t>D-03</t>
        </is>
      </c>
      <c r="B4" s="6" t="inlineStr">
        <is>
          <t>TR-02</t>
        </is>
      </c>
      <c r="C4" s="6" t="inlineStr">
        <is>
          <t>NEW-040, NEW-042</t>
        </is>
      </c>
      <c r="D4" s="6" t="inlineStr">
        <is>
          <t>Old referral error stayed visible after correcting the code; 'fssai' lower-case</t>
        </is>
      </c>
      <c r="E4" s="6" t="inlineStr">
        <is>
          <t>Fixed</t>
        </is>
      </c>
      <c r="F4" s="6" t="inlineStr">
        <is>
          <t>#103</t>
        </is>
      </c>
      <c r="G4" s="6" t="inlineStr">
        <is>
          <t>Re-checked in TR-03</t>
        </is>
      </c>
    </row>
    <row r="5" ht="27" customHeight="1">
      <c r="A5" s="5" t="inlineStr">
        <is>
          <t>D-04</t>
        </is>
      </c>
      <c r="B5" s="6" t="inlineStr">
        <is>
          <t>TR-02</t>
        </is>
      </c>
      <c r="C5" s="6" t="inlineStr">
        <is>
          <t>GS-055</t>
        </is>
      </c>
      <c r="D5" s="6" t="inlineStr">
        <is>
          <t>Test site's mail host refused mail after its hourly cap (451 rate limit); some emails late or DEAD</t>
        </is>
      </c>
      <c r="E5" s="6" t="inlineStr">
        <is>
          <t>Open</t>
        </is>
      </c>
      <c r="F5" s="6" t="inlineStr">
        <is>
          <t>-</t>
        </is>
      </c>
      <c r="G5" s="6" t="inlineStr">
        <is>
          <t>Raise the limit or use a transactional email service before go-live (GAP-009)</t>
        </is>
      </c>
    </row>
    <row r="6" ht="27" customHeight="1">
      <c r="A6" s="5" t="inlineStr">
        <is>
          <t>D-05</t>
        </is>
      </c>
      <c r="B6" s="6" t="inlineStr">
        <is>
          <t>TR-02</t>
        </is>
      </c>
      <c r="C6" s="6" t="inlineStr">
        <is>
          <t>GS-004</t>
        </is>
      </c>
      <c r="D6" s="6" t="inlineStr">
        <is>
          <t>Map 'Confirm location' answers 500 on test</t>
        </is>
      </c>
      <c r="E6" s="6" t="inlineStr">
        <is>
          <t>Owner action</t>
        </is>
      </c>
      <c r="F6" s="6" t="inlineStr">
        <is>
          <t>-</t>
        </is>
      </c>
      <c r="G6" s="6" t="inlineStr">
        <is>
          <t>Cause found in TR-10 (N-1): the Maps server key is restricted by HTTP referrer - switch to an IP restriction (GAP-008)</t>
        </is>
      </c>
    </row>
    <row r="7" ht="27" customHeight="1">
      <c r="A7" s="5" t="inlineStr">
        <is>
          <t>D-06</t>
        </is>
      </c>
      <c r="B7" s="6" t="inlineStr">
        <is>
          <t>TR-20</t>
        </is>
      </c>
      <c r="C7" s="6" t="inlineStr">
        <is>
          <t>QA-001</t>
        </is>
      </c>
      <c r="D7" s="6" t="inlineStr">
        <is>
          <t>Flaky integration test login-profile: a background email reached the next test's outbox</t>
        </is>
      </c>
      <c r="E7" s="6" t="inlineStr">
        <is>
          <t>Fixed</t>
        </is>
      </c>
      <c r="F7" s="6" t="inlineStr">
        <is>
          <t>#92 (bf8df50)</t>
        </is>
      </c>
      <c r="G7" s="6" t="inlineStr">
        <is>
          <t>Test waits for pending emails before clearing the outbox</t>
        </is>
      </c>
    </row>
    <row r="8" ht="15" customHeight="1">
      <c r="A8" s="5" t="inlineStr">
        <is>
          <t>D-07</t>
        </is>
      </c>
      <c r="B8" s="6" t="inlineStr">
        <is>
          <t>TR-08</t>
        </is>
      </c>
      <c r="C8" s="6" t="inlineStr">
        <is>
          <t>NEW-051</t>
        </is>
      </c>
      <c r="D8" s="6" t="inlineStr">
        <is>
          <t>5 pages take over 3 s on slow 4G</t>
        </is>
      </c>
      <c r="E8" s="6" t="inlineStr">
        <is>
          <t>Open</t>
        </is>
      </c>
      <c r="F8" s="6" t="inlineStr">
        <is>
          <t>-</t>
        </is>
      </c>
      <c r="G8" s="6" t="inlineStr">
        <is>
          <t>Database far from the web server (GAP-010, hosting decision)</t>
        </is>
      </c>
    </row>
    <row r="9" ht="15" customHeight="1">
      <c r="A9" s="5" t="inlineStr">
        <is>
          <t>D-08</t>
        </is>
      </c>
      <c r="B9" s="6" t="inlineStr">
        <is>
          <t>TR-08</t>
        </is>
      </c>
      <c r="C9" s="6" t="inlineStr">
        <is>
          <t>NEW-046</t>
        </is>
      </c>
      <c r="D9" s="6" t="inlineStr">
        <is>
          <t>Shop owner board 2 px over one screen at 320x640 with two alerts</t>
        </is>
      </c>
      <c r="E9" s="6" t="inlineStr">
        <is>
          <t>Accepted</t>
        </is>
      </c>
      <c r="F9" s="6" t="inlineStr">
        <is>
          <t>-</t>
        </is>
      </c>
      <c r="G9" s="6" t="inlineStr">
        <is>
          <t>Accepted by the owner (D-02 in the UI pass)</t>
        </is>
      </c>
    </row>
    <row r="10" ht="15" customHeight="1">
      <c r="A10" s="5" t="inlineStr">
        <is>
          <t>D-09</t>
        </is>
      </c>
      <c r="B10" s="6" t="inlineStr">
        <is>
          <t>TR-10</t>
        </is>
      </c>
      <c r="C10" s="6" t="inlineStr">
        <is>
          <t>NEW-057</t>
        </is>
      </c>
      <c r="D10" s="6" t="inlineStr">
        <is>
          <t>Nearby waited forever when the location prompt was never answered</t>
        </is>
      </c>
      <c r="E10" s="6" t="inlineStr">
        <is>
          <t>Fixed</t>
        </is>
      </c>
      <c r="F10" s="6" t="inlineStr">
        <is>
          <t>#136</t>
        </is>
      </c>
      <c r="G10" s="6" t="inlineStr">
        <is>
          <t>PIN box after 12 s</t>
        </is>
      </c>
    </row>
    <row r="11" ht="27" customHeight="1">
      <c r="A11" s="5" t="inlineStr">
        <is>
          <t>D-10</t>
        </is>
      </c>
      <c r="B11" s="6" t="inlineStr">
        <is>
          <t>TR-10</t>
        </is>
      </c>
      <c r="C11" s="6" t="inlineStr">
        <is>
          <t>NEW-059</t>
        </is>
      </c>
      <c r="D11" s="6" t="inlineStr">
        <is>
          <t>'Fill from address' cannot work on test: Google refuses the server key (N-1)</t>
        </is>
      </c>
      <c r="E11" s="6" t="inlineStr">
        <is>
          <t>Owner action</t>
        </is>
      </c>
      <c r="F11" s="6" t="inlineStr">
        <is>
          <t>-</t>
        </is>
      </c>
      <c r="G11" s="6" t="inlineStr">
        <is>
          <t>Same key fix as D-05</t>
        </is>
      </c>
    </row>
    <row r="12" ht="27" customHeight="1">
      <c r="A12" s="5" t="inlineStr">
        <is>
          <t>D-11</t>
        </is>
      </c>
      <c r="B12" s="6" t="inlineStr">
        <is>
          <t>TR-10</t>
        </is>
      </c>
      <c r="C12" s="6" t="inlineStr">
        <is>
          <t>NEW-038, NEW-058</t>
        </is>
      </c>
      <c r="D12" s="6" t="inlineStr">
        <is>
          <t>No SMS provider on test (SMS_PROVIDER=none) - /shop/join cannot be completed (N-2)</t>
        </is>
      </c>
      <c r="E12" s="6" t="inlineStr">
        <is>
          <t>Open</t>
        </is>
      </c>
      <c r="F12" s="6" t="inlineStr">
        <is>
          <t>-</t>
        </is>
      </c>
      <c r="G12" s="6" t="inlineStr">
        <is>
          <t>Pre-existing; waits on the SMS vendor (D2)</t>
        </is>
      </c>
    </row>
    <row r="13" ht="15" customHeight="1">
      <c r="A13" s="5" t="inlineStr">
        <is>
          <t>D-12</t>
        </is>
      </c>
      <c r="B13" s="6" t="inlineStr">
        <is>
          <t>TR-10</t>
        </is>
      </c>
      <c r="C13" s="6" t="inlineStr">
        <is>
          <t>NEW-057</t>
        </is>
      </c>
      <c r="D13" s="6" t="inlineStr">
        <is>
          <t>Directions could not be opened from the test environment (N-3)</t>
        </is>
      </c>
      <c r="E13" s="6" t="inlineStr">
        <is>
          <t>To confirm</t>
        </is>
      </c>
      <c r="F13" s="6" t="inlineStr">
        <is>
          <t>-</t>
        </is>
      </c>
      <c r="G13" s="6" t="inlineStr">
        <is>
          <t>Tap Directions once on a real phone</t>
        </is>
      </c>
    </row>
    <row r="14" ht="15" customHeight="1">
      <c r="A14" s="5" t="inlineStr">
        <is>
          <t>D-13</t>
        </is>
      </c>
      <c r="B14" s="6" t="inlineStr">
        <is>
          <t>TR-10</t>
        </is>
      </c>
      <c r="C14" s="6" t="inlineStr">
        <is>
          <t>-</t>
        </is>
      </c>
      <c r="D14" s="6" t="inlineStr">
        <is>
          <t>React error #418 (hydration) on /wallet and /admin/orders (N-4)</t>
        </is>
      </c>
      <c r="E14" s="6" t="inlineStr">
        <is>
          <t>Open</t>
        </is>
      </c>
      <c r="F14" s="6" t="inlineStr">
        <is>
          <t>-</t>
        </is>
      </c>
      <c r="G14" s="6" t="inlineStr">
        <is>
          <t>Pre-existing (GAP-017)</t>
        </is>
      </c>
    </row>
    <row r="15" ht="15" customHeight="1">
      <c r="A15" s="5" t="inlineStr">
        <is>
          <t>D-14</t>
        </is>
      </c>
      <c r="B15" s="6" t="inlineStr">
        <is>
          <t>TR-10</t>
        </is>
      </c>
      <c r="C15" s="6" t="inlineStr">
        <is>
          <t>NEW-065</t>
        </is>
      </c>
      <c r="D15" s="6" t="inlineStr">
        <is>
          <t>Admin &gt; Referral codes showed 0 shops; Societies showed 0 members (N-5)</t>
        </is>
      </c>
      <c r="E15" s="6" t="inlineStr">
        <is>
          <t>Fixed</t>
        </is>
      </c>
      <c r="F15" s="6" t="inlineStr">
        <is>
          <t>#138, #139</t>
        </is>
      </c>
      <c r="G15" s="6" t="inlineStr">
        <is>
          <t>Verified in TR-12</t>
        </is>
      </c>
    </row>
    <row r="16" ht="27" customHeight="1">
      <c r="A16" s="5" t="inlineStr">
        <is>
          <t>D-15</t>
        </is>
      </c>
      <c r="B16" s="6" t="inlineStr">
        <is>
          <t>TR-12</t>
        </is>
      </c>
      <c r="C16" s="6" t="inlineStr">
        <is>
          <t>-</t>
        </is>
      </c>
      <c r="D16" s="6" t="inlineStr">
        <is>
          <t>Same Drizzle bare-id subquery bug in rider reliability and the integrations 'listed' flag</t>
        </is>
      </c>
      <c r="E16" s="6" t="inlineStr">
        <is>
          <t>Open</t>
        </is>
      </c>
      <c r="F16" s="6" t="inlineStr">
        <is>
          <t>-</t>
        </is>
      </c>
      <c r="G16" s="6" t="inlineStr">
        <is>
          <t>GAP-016</t>
        </is>
      </c>
    </row>
    <row r="17" ht="15" customHeight="1">
      <c r="A17" s="5" t="inlineStr">
        <is>
          <t>D-16</t>
        </is>
      </c>
      <c r="B17" s="6" t="inlineStr">
        <is>
          <t>TR-15</t>
        </is>
      </c>
      <c r="C17" s="6" t="inlineStr">
        <is>
          <t>NEW-062</t>
        </is>
      </c>
      <c r="D17" s="6" t="inlineStr">
        <is>
          <t>Document read timed out (504 at 60 s) on staging</t>
        </is>
      </c>
      <c r="E17" s="6" t="inlineStr">
        <is>
          <t>Fixed</t>
        </is>
      </c>
      <c r="F17" s="6" t="inlineStr">
        <is>
          <t>#147</t>
        </is>
      </c>
      <c r="G17" s="6" t="inlineStr">
        <is>
          <t>25 s limit and 'type the details' fallback</t>
        </is>
      </c>
    </row>
    <row r="18" ht="15" customHeight="1">
      <c r="A18" s="5" t="inlineStr">
        <is>
          <t>D-17</t>
        </is>
      </c>
      <c r="B18" s="6" t="inlineStr">
        <is>
          <t>TR-16</t>
        </is>
      </c>
      <c r="C18" s="6" t="inlineStr">
        <is>
          <t>NEW-062</t>
        </is>
      </c>
      <c r="D18" s="6" t="inlineStr">
        <is>
          <t>OCR language model missing from the Hostinger bundle</t>
        </is>
      </c>
      <c r="E18" s="6" t="inlineStr">
        <is>
          <t>Fixed</t>
        </is>
      </c>
      <c r="F18" s="6" t="inlineStr">
        <is>
          <t>#148</t>
        </is>
      </c>
      <c r="G18" s="6" t="inlineStr">
        <is>
          <t>-</t>
        </is>
      </c>
    </row>
    <row r="19" ht="27" customHeight="1">
      <c r="A19" s="5" t="inlineStr">
        <is>
          <t>D-18</t>
        </is>
      </c>
      <c r="B19" s="6" t="inlineStr">
        <is>
          <t>TR-16</t>
        </is>
      </c>
      <c r="C19" s="6" t="inlineStr">
        <is>
          <t>NEW-062</t>
        </is>
      </c>
      <c r="D19" s="6" t="inlineStr">
        <is>
          <t>OCR worker does not start within 45 s on Hostinger - auto-read does not work</t>
        </is>
      </c>
      <c r="E19" s="6" t="inlineStr">
        <is>
          <t>Open</t>
        </is>
      </c>
      <c r="F19" s="6" t="inlineStr">
        <is>
          <t>-</t>
        </is>
      </c>
      <c r="G19" s="6" t="inlineStr">
        <is>
          <t>Owners type the details; fix tesseract's start or decide on DOCUMENT_OCR_PROVIDER=claude</t>
        </is>
      </c>
    </row>
    <row r="20" ht="15" customHeight="1">
      <c r="A20" s="5" t="inlineStr">
        <is>
          <t>D-19</t>
        </is>
      </c>
      <c r="B20" s="6" t="inlineStr">
        <is>
          <t>TR-17</t>
        </is>
      </c>
      <c r="C20" s="6" t="inlineStr">
        <is>
          <t>NEW-064</t>
        </is>
      </c>
      <c r="D20" s="6" t="inlineStr">
        <is>
          <t>Stray '·' at the start of a wrapped footer line on a 412 px phone</t>
        </is>
      </c>
      <c r="E20" s="6" t="inlineStr">
        <is>
          <t>Fixed</t>
        </is>
      </c>
      <c r="F20" s="6" t="inlineStr">
        <is>
          <t>#150, #151</t>
        </is>
      </c>
      <c r="G20" s="6" t="inlineStr">
        <is>
          <t>Width sweep 320-1366 px 18/18; E2E 16/16 on gokesari.com</t>
        </is>
      </c>
    </row>
    <row r="21" ht="27" customHeight="1">
      <c r="A21" s="5" t="inlineStr">
        <is>
          <t>D-20</t>
        </is>
      </c>
      <c r="B21" s="6" t="inlineStr">
        <is>
          <t>TR-14</t>
        </is>
      </c>
      <c r="C21" s="6" t="inlineStr">
        <is>
          <t>QA-001</t>
        </is>
      </c>
      <c r="D21" s="6" t="inlineStr">
        <is>
          <t>Two lifecycle E2E steps are stale (settings list, shop contact card moved)</t>
        </is>
      </c>
      <c r="E21" s="6" t="inlineStr">
        <is>
          <t>Open</t>
        </is>
      </c>
      <c r="F21" s="6" t="inlineStr">
        <is>
          <t>-</t>
        </is>
      </c>
      <c r="G21" s="6" t="inlineStr">
        <is>
          <t>Left out of the 21/21 run; refresh them</t>
        </is>
      </c>
    </row>
    <row r="22" ht="15" customHeight="1">
      <c r="A22" s="5" t="inlineStr">
        <is>
          <t>D-21</t>
        </is>
      </c>
      <c r="B22" s="6" t="inlineStr">
        <is>
          <t>TR-18</t>
        </is>
      </c>
      <c r="C22" s="6" t="inlineStr">
        <is>
          <t>PLT-015</t>
        </is>
      </c>
      <c r="D22" s="6" t="inlineStr">
        <is>
          <t>Database split COPY hung on Neon; Neon channel_binding URLs refused</t>
        </is>
      </c>
      <c r="E22" s="6" t="inlineStr">
        <is>
          <t>Fixed</t>
        </is>
      </c>
      <c r="F22" s="6" t="inlineStr">
        <is>
          <t>#152</t>
        </is>
      </c>
      <c r="G22" s="6" t="inlineStr">
        <is>
          <t>-</t>
        </is>
      </c>
    </row>
    <row r="23" ht="27" customHeight="1">
      <c r="A23" s="5" t="inlineStr">
        <is>
          <t>D-22</t>
        </is>
      </c>
      <c r="B23" s="6" t="inlineStr">
        <is>
          <t>TR-19</t>
        </is>
      </c>
      <c r="C23" s="6" t="inlineStr">
        <is>
          <t>PLT-015</t>
        </is>
      </c>
      <c r="D23" s="6" t="inlineStr">
        <is>
          <t>Production dry runs refused: Neon's sample table playing_with_neon; secrets pointed at the same database</t>
        </is>
      </c>
      <c r="E23" s="6" t="inlineStr">
        <is>
          <t>Fixed</t>
        </is>
      </c>
      <c r="F23" s="6" t="inlineStr">
        <is>
          <t>#158, #160, #162</t>
        </is>
      </c>
      <c r="G23" s="6" t="inlineStr">
        <is>
          <t>Run 18 confirmed the six secrets; run 19 PASS</t>
        </is>
      </c>
    </row>
    <row r="24" ht="27" customHeight="1">
      <c r="A24" s="5" t="inlineStr">
        <is>
          <t>D-23</t>
        </is>
      </c>
      <c r="B24" s="6" t="inlineStr">
        <is>
          <t>TR-06</t>
        </is>
      </c>
      <c r="C24" s="6" t="inlineStr">
        <is>
          <t>NEW-050</t>
        </is>
      </c>
      <c r="D24" s="6" t="inlineStr">
        <is>
          <t>Bank check with Cashfree: Verification Suite keys not found by test.gokesari.com</t>
        </is>
      </c>
      <c r="E24" s="6" t="inlineStr">
        <is>
          <t>Owner action</t>
        </is>
      </c>
      <c r="F24" s="6" t="inlineStr">
        <is>
          <t>-</t>
        </is>
      </c>
      <c r="G24" s="6" t="inlineStr">
        <is>
          <t>Put the keys in the Hostinger environment of the test site (not only GitHub), then run O7.2-O7.5</t>
        </is>
      </c>
    </row>
  </sheetData>
  <autoFilter ref="A1:G24"/>
  <conditionalFormatting sqref="E2:E24">
    <cfRule type="cellIs" priority="1" operator="equal" dxfId="0">
      <formula>"Fixed"</formula>
    </cfRule>
    <cfRule type="cellIs" priority="2" operator="equal" dxfId="2">
      <formula>"Open"</formula>
    </cfRule>
    <cfRule type="cellIs" priority="3" operator="equal" dxfId="1">
      <formula>"Owner action"</formula>
    </cfRule>
    <cfRule type="cellIs" priority="4" operator="equal" dxfId="3">
      <formula>"Accepted"</formula>
    </cfRule>
    <cfRule type="cellIs" priority="5" operator="equal" dxfId="1">
      <formula>"To confirm"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60" customWidth="1" min="3" max="3"/>
    <col width="30" customWidth="1" min="4" max="4"/>
  </cols>
  <sheetData>
    <row r="1" ht="30" customHeight="1">
      <c r="A1" s="4" t="inlineStr">
        <is>
          <t>What was not tested</t>
        </is>
      </c>
      <c r="B1" s="4" t="inlineStr">
        <is>
          <t>Feature IDs</t>
        </is>
      </c>
      <c r="C1" s="4" t="inlineStr">
        <is>
          <t>Why</t>
        </is>
      </c>
      <c r="D1" s="4" t="inlineStr">
        <is>
          <t>Covered by / run</t>
        </is>
      </c>
    </row>
    <row r="2" ht="15" customHeight="1">
      <c r="A2" s="6" t="inlineStr">
        <is>
          <t>791-case plan (smoke, P0, P1, P2) and 35 end-to-end scenarios</t>
        </is>
      </c>
      <c r="B2" s="6" t="inlineStr">
        <is>
          <t>All</t>
        </is>
      </c>
      <c r="C2" s="6" t="inlineStr">
        <is>
          <t>Never executed; no results recorded</t>
        </is>
      </c>
      <c r="D2" s="6" t="inlineStr">
        <is>
          <t>TR-21</t>
        </is>
      </c>
    </row>
    <row r="3" ht="27" customHeight="1">
      <c r="A3" s="6" t="inlineStr">
        <is>
          <t>Order lifecycle on staging (sign-up -&gt; order -&gt; delivery code -&gt; done)</t>
        </is>
      </c>
      <c r="B3" s="6" t="inlineStr">
        <is>
          <t>QA-008</t>
        </is>
      </c>
      <c r="C3" s="6" t="inlineStr">
        <is>
          <t>Run locally only (21/21); staging run is next and needs the Sandbox payment workflow</t>
        </is>
      </c>
      <c r="D3" s="6" t="inlineStr">
        <is>
          <t>TR-22</t>
        </is>
      </c>
    </row>
    <row r="4" ht="27" customHeight="1">
      <c r="A4" s="6" t="inlineStr">
        <is>
          <t>Shop settlement refused without a verified bank account</t>
        </is>
      </c>
      <c r="B4" s="6" t="inlineStr">
        <is>
          <t>NEW-041</t>
        </is>
      </c>
      <c r="C4" s="6" t="inlineStr">
        <is>
          <t>No settlement can exist on test for a new shop until the hold period passes</t>
        </is>
      </c>
      <c r="D4" s="6" t="inlineStr">
        <is>
          <t>Integration tests</t>
        </is>
      </c>
    </row>
    <row r="5" ht="15" customHeight="1">
      <c r="A5" s="6" t="inlineStr">
        <is>
          <t>Payer-name mismatch on the Rs 1 payment</t>
        </is>
      </c>
      <c r="B5" s="6" t="inlineStr">
        <is>
          <t>NEW-041</t>
        </is>
      </c>
      <c r="C5" s="6" t="inlineStr">
        <is>
          <t>Cashfree sandbox reports no payer name</t>
        </is>
      </c>
      <c r="D5" s="6" t="inlineStr">
        <is>
          <t>Integration tests</t>
        </is>
      </c>
    </row>
    <row r="6" ht="15" customHeight="1">
      <c r="A6" s="6" t="inlineStr">
        <is>
          <t>Arrival of request emails in the referrals@gokesari.com inbox</t>
        </is>
      </c>
      <c r="B6" s="6" t="inlineStr">
        <is>
          <t>NEW-042</t>
        </is>
      </c>
      <c r="C6" s="6" t="inlineStr">
        <is>
          <t>Mailbox not readable from the test run (SMTP accepted)</t>
        </is>
      </c>
      <c r="D6" s="6" t="inlineStr">
        <is>
          <t>Owner to confirm</t>
        </is>
      </c>
    </row>
    <row r="7" ht="15" customHeight="1">
      <c r="A7" s="6" t="inlineStr">
        <is>
          <t>Paid self-registration (/shop/join) end to end</t>
        </is>
      </c>
      <c r="B7" s="6" t="inlineStr">
        <is>
          <t>NEW-038, NEW-058</t>
        </is>
      </c>
      <c r="C7" s="6" t="inlineStr">
        <is>
          <t>No SMS provider on test (N-2)</t>
        </is>
      </c>
      <c r="D7" s="6" t="inlineStr">
        <is>
          <t>Integration tests</t>
        </is>
      </c>
    </row>
    <row r="8" ht="27" customHeight="1">
      <c r="A8" s="6" t="inlineStr">
        <is>
          <t>Wallet top-up and shop wallet recharge in the UI pass (C-01, S-13)</t>
        </is>
      </c>
      <c r="B8" s="6" t="inlineStr">
        <is>
          <t>GS-029, NEW-033</t>
        </is>
      </c>
      <c r="C8" s="6" t="inlineStr">
        <is>
          <t>GitHub Actions billing stop on 9 Oct (Sandbox payment did not start)</t>
        </is>
      </c>
      <c r="D8" s="6" t="inlineStr">
        <is>
          <t>Covered in TR-02 and TR-10 regression</t>
        </is>
      </c>
    </row>
    <row r="9" ht="15" customHeight="1">
      <c r="A9" s="6" t="inlineStr">
        <is>
          <t>Return pickup, inspection and refund (S-11b)</t>
        </is>
      </c>
      <c r="B9" s="6" t="inlineStr">
        <is>
          <t>GS-057</t>
        </is>
      </c>
      <c r="C9" s="6" t="inlineStr">
        <is>
          <t>Needs a rider to collect the pickup</t>
        </is>
      </c>
      <c r="D9" s="6" t="inlineStr">
        <is>
          <t>-</t>
        </is>
      </c>
    </row>
    <row r="10" ht="15" customHeight="1">
      <c r="A10" s="6" t="inlineStr">
        <is>
          <t>Seller Central on test / production</t>
        </is>
      </c>
      <c r="B10" s="6" t="inlineStr">
        <is>
          <t>NEW-060</t>
        </is>
      </c>
      <c r="C10" s="6" t="inlineStr">
        <is>
          <t>Only local checks recorded</t>
        </is>
      </c>
      <c r="D10" s="6" t="inlineStr">
        <is>
          <t>TR-13</t>
        </is>
      </c>
    </row>
    <row r="11" ht="15" customHeight="1">
      <c r="A11" s="6" t="inlineStr">
        <is>
          <t>Saffron wordmark (#153) on test / production</t>
        </is>
      </c>
      <c r="B11" s="6" t="inlineStr">
        <is>
          <t>NEW-064</t>
        </is>
      </c>
      <c r="C11" s="6" t="inlineStr">
        <is>
          <t>No run recorded after the change</t>
        </is>
      </c>
      <c r="D11" s="6" t="inlineStr">
        <is>
          <t>-</t>
        </is>
      </c>
    </row>
    <row r="12" ht="15" customHeight="1">
      <c r="A12" s="6" t="inlineStr">
        <is>
          <t>Directions on a real phone</t>
        </is>
      </c>
      <c r="B12" s="6" t="inlineStr">
        <is>
          <t>NEW-057</t>
        </is>
      </c>
      <c r="C12" s="6" t="inlineStr">
        <is>
          <t>Test environment cannot reach google.com</t>
        </is>
      </c>
      <c r="D12" s="6" t="inlineStr">
        <is>
          <t>-</t>
        </is>
      </c>
    </row>
    <row r="13" ht="15" customHeight="1">
      <c r="A13" s="6" t="inlineStr">
        <is>
          <t>Firefox and Safari</t>
        </is>
      </c>
      <c r="B13" s="6" t="inlineStr">
        <is>
          <t>All</t>
        </is>
      </c>
      <c r="C13" s="6" t="inlineStr">
        <is>
          <t>Only Chromium available in the test sessions</t>
        </is>
      </c>
      <c r="D13" s="6" t="inlineStr">
        <is>
          <t>-</t>
        </is>
      </c>
    </row>
    <row r="14" ht="27" customHeight="1">
      <c r="A14" s="6" t="inlineStr">
        <is>
          <t>Admin pages on production (referral settings, referral-code counts)</t>
        </is>
      </c>
      <c r="B14" s="6" t="inlineStr">
        <is>
          <t>NEW-058, NEW-065</t>
        </is>
      </c>
      <c r="C14" s="6" t="inlineStr">
        <is>
          <t>Need a production admin sign-in</t>
        </is>
      </c>
      <c r="D14" s="6" t="inlineStr">
        <is>
          <t>Verified on test</t>
        </is>
      </c>
    </row>
  </sheetData>
  <autoFilter ref="A1:D1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30" customHeight="1">
      <c r="A1" s="4" t="inlineStr">
        <is>
          <t>Module</t>
        </is>
      </c>
      <c r="B1" s="4" t="inlineStr">
        <is>
          <t>Cases</t>
        </is>
      </c>
      <c r="C1" s="4" t="inlineStr">
        <is>
          <t>P0 cases</t>
        </is>
      </c>
      <c r="D1" s="4" t="inlineStr">
        <is>
          <t>Pass</t>
        </is>
      </c>
      <c r="E1" s="4" t="inlineStr">
        <is>
          <t>Fail</t>
        </is>
      </c>
      <c r="F1" s="4" t="inlineStr">
        <is>
          <t>Blocked</t>
        </is>
      </c>
      <c r="G1" s="4" t="inlineStr">
        <is>
          <t>Not run</t>
        </is>
      </c>
    </row>
    <row r="2" ht="15" customHeight="1">
      <c r="A2" s="5" t="inlineStr">
        <is>
          <t>Preflight &amp; smoke</t>
        </is>
      </c>
      <c r="B2" s="6" t="n">
        <v>12</v>
      </c>
      <c r="C2" s="6" t="n">
        <v>11</v>
      </c>
      <c r="D2" s="6" t="n">
        <v>0</v>
      </c>
      <c r="E2" s="6" t="n">
        <v>0</v>
      </c>
      <c r="F2" s="6" t="n">
        <v>0</v>
      </c>
      <c r="G2" s="6" t="n">
        <v>12</v>
      </c>
    </row>
    <row r="3" ht="15" customHeight="1">
      <c r="A3" s="5" t="inlineStr">
        <is>
          <t>Login, onboarding &amp; profile</t>
        </is>
      </c>
      <c r="B3" s="6" t="n">
        <v>54</v>
      </c>
      <c r="C3" s="6" t="n">
        <v>24</v>
      </c>
      <c r="D3" s="6" t="n">
        <v>0</v>
      </c>
      <c r="E3" s="6" t="n">
        <v>0</v>
      </c>
      <c r="F3" s="6" t="n">
        <v>0</v>
      </c>
      <c r="G3" s="6" t="n">
        <v>54</v>
      </c>
    </row>
    <row r="4" ht="15" customHeight="1">
      <c r="A4" s="5" t="inlineStr">
        <is>
          <t>Roles &amp; access control</t>
        </is>
      </c>
      <c r="B4" s="6" t="n">
        <v>24</v>
      </c>
      <c r="C4" s="6" t="n">
        <v>15</v>
      </c>
      <c r="D4" s="6" t="n">
        <v>0</v>
      </c>
      <c r="E4" s="6" t="n">
        <v>0</v>
      </c>
      <c r="F4" s="6" t="n">
        <v>0</v>
      </c>
      <c r="G4" s="6" t="n">
        <v>24</v>
      </c>
    </row>
    <row r="5" ht="15" customHeight="1">
      <c r="A5" s="5" t="inlineStr">
        <is>
          <t>Location, addresses &amp; serviceability</t>
        </is>
      </c>
      <c r="B5" s="6" t="n">
        <v>32</v>
      </c>
      <c r="C5" s="6" t="n">
        <v>11</v>
      </c>
      <c r="D5" s="6" t="n">
        <v>0</v>
      </c>
      <c r="E5" s="6" t="n">
        <v>0</v>
      </c>
      <c r="F5" s="6" t="n">
        <v>0</v>
      </c>
      <c r="G5" s="6" t="n">
        <v>32</v>
      </c>
    </row>
    <row r="6" ht="15" customHeight="1">
      <c r="A6" s="5" t="inlineStr">
        <is>
          <t>Discovery, search &amp; price comparison</t>
        </is>
      </c>
      <c r="B6" s="6" t="n">
        <v>24</v>
      </c>
      <c r="C6" s="6" t="n">
        <v>8</v>
      </c>
      <c r="D6" s="6" t="n">
        <v>0</v>
      </c>
      <c r="E6" s="6" t="n">
        <v>0</v>
      </c>
      <c r="F6" s="6" t="n">
        <v>0</v>
      </c>
      <c r="G6" s="6" t="n">
        <v>24</v>
      </c>
    </row>
    <row r="7" ht="15" customHeight="1">
      <c r="A7" s="5" t="inlineStr">
        <is>
          <t>Cart &amp; checkout</t>
        </is>
      </c>
      <c r="B7" s="6" t="n">
        <v>30</v>
      </c>
      <c r="C7" s="6" t="n">
        <v>18</v>
      </c>
      <c r="D7" s="6" t="n">
        <v>0</v>
      </c>
      <c r="E7" s="6" t="n">
        <v>0</v>
      </c>
      <c r="F7" s="6" t="n">
        <v>0</v>
      </c>
      <c r="G7" s="6" t="n">
        <v>30</v>
      </c>
    </row>
    <row r="8" ht="15" customHeight="1">
      <c r="A8" s="5" t="inlineStr">
        <is>
          <t>Wallet, vouchers &amp; gateway</t>
        </is>
      </c>
      <c r="B8" s="6" t="n">
        <v>35</v>
      </c>
      <c r="C8" s="6" t="n">
        <v>19</v>
      </c>
      <c r="D8" s="6" t="n">
        <v>0</v>
      </c>
      <c r="E8" s="6" t="n">
        <v>0</v>
      </c>
      <c r="F8" s="6" t="n">
        <v>0</v>
      </c>
      <c r="G8" s="6" t="n">
        <v>35</v>
      </c>
    </row>
    <row r="9" ht="15" customHeight="1">
      <c r="A9" s="5" t="inlineStr">
        <is>
          <t>Cash on delivery</t>
        </is>
      </c>
      <c r="B9" s="6" t="n">
        <v>12</v>
      </c>
      <c r="C9" s="6" t="n">
        <v>3</v>
      </c>
      <c r="D9" s="6" t="n">
        <v>0</v>
      </c>
      <c r="E9" s="6" t="n">
        <v>0</v>
      </c>
      <c r="F9" s="6" t="n">
        <v>0</v>
      </c>
      <c r="G9" s="6" t="n">
        <v>12</v>
      </c>
    </row>
    <row r="10" ht="15" customHeight="1">
      <c r="A10" s="5" t="inlineStr">
        <is>
          <t>Order state machine &amp; cancellation</t>
        </is>
      </c>
      <c r="B10" s="6" t="n">
        <v>19</v>
      </c>
      <c r="C10" s="6" t="n">
        <v>9</v>
      </c>
      <c r="D10" s="6" t="n">
        <v>0</v>
      </c>
      <c r="E10" s="6" t="n">
        <v>0</v>
      </c>
      <c r="F10" s="6" t="n">
        <v>0</v>
      </c>
      <c r="G10" s="6" t="n">
        <v>19</v>
      </c>
    </row>
    <row r="11" ht="15" customHeight="1">
      <c r="A11" s="5" t="inlineStr">
        <is>
          <t>Shop fulfilment &amp; substitution</t>
        </is>
      </c>
      <c r="B11" s="6" t="n">
        <v>18</v>
      </c>
      <c r="C11" s="6" t="n">
        <v>10</v>
      </c>
      <c r="D11" s="6" t="n">
        <v>0</v>
      </c>
      <c r="E11" s="6" t="n">
        <v>0</v>
      </c>
      <c r="F11" s="6" t="n">
        <v>0</v>
      </c>
      <c r="G11" s="6" t="n">
        <v>18</v>
      </c>
    </row>
    <row r="12" ht="15" customHeight="1">
      <c r="A12" s="5" t="inlineStr">
        <is>
          <t>Rider dispatch &amp; assignment rules</t>
        </is>
      </c>
      <c r="B12" s="6" t="n">
        <v>26</v>
      </c>
      <c r="C12" s="6" t="n">
        <v>9</v>
      </c>
      <c r="D12" s="6" t="n">
        <v>0</v>
      </c>
      <c r="E12" s="6" t="n">
        <v>0</v>
      </c>
      <c r="F12" s="6" t="n">
        <v>0</v>
      </c>
      <c r="G12" s="6" t="n">
        <v>26</v>
      </c>
    </row>
    <row r="13" ht="15" customHeight="1">
      <c r="A13" s="5" t="inlineStr">
        <is>
          <t>Rider delivery &amp; handover</t>
        </is>
      </c>
      <c r="B13" s="6" t="n">
        <v>31</v>
      </c>
      <c r="C13" s="6" t="n">
        <v>14</v>
      </c>
      <c r="D13" s="6" t="n">
        <v>0</v>
      </c>
      <c r="E13" s="6" t="n">
        <v>0</v>
      </c>
      <c r="F13" s="6" t="n">
        <v>0</v>
      </c>
      <c r="G13" s="6" t="n">
        <v>31</v>
      </c>
    </row>
    <row r="14" ht="15" customHeight="1">
      <c r="A14" s="5" t="inlineStr">
        <is>
          <t>Society module</t>
        </is>
      </c>
      <c r="B14" s="6" t="n">
        <v>17</v>
      </c>
      <c r="C14" s="6" t="n">
        <v>5</v>
      </c>
      <c r="D14" s="6" t="n">
        <v>0</v>
      </c>
      <c r="E14" s="6" t="n">
        <v>0</v>
      </c>
      <c r="F14" s="6" t="n">
        <v>0</v>
      </c>
      <c r="G14" s="6" t="n">
        <v>17</v>
      </c>
    </row>
    <row r="15" ht="15" customHeight="1">
      <c r="A15" s="5" t="inlineStr">
        <is>
          <t>Subscriptions</t>
        </is>
      </c>
      <c r="B15" s="6" t="n">
        <v>19</v>
      </c>
      <c r="C15" s="6" t="n">
        <v>8</v>
      </c>
      <c r="D15" s="6" t="n">
        <v>0</v>
      </c>
      <c r="E15" s="6" t="n">
        <v>0</v>
      </c>
      <c r="F15" s="6" t="n">
        <v>0</v>
      </c>
      <c r="G15" s="6" t="n">
        <v>19</v>
      </c>
    </row>
    <row r="16" ht="15" customHeight="1">
      <c r="A16" s="5" t="inlineStr">
        <is>
          <t>Returns, refunds &amp; disputes</t>
        </is>
      </c>
      <c r="B16" s="6" t="n">
        <v>22</v>
      </c>
      <c r="C16" s="6" t="n">
        <v>11</v>
      </c>
      <c r="D16" s="6" t="n">
        <v>0</v>
      </c>
      <c r="E16" s="6" t="n">
        <v>0</v>
      </c>
      <c r="F16" s="6" t="n">
        <v>0</v>
      </c>
      <c r="G16" s="6" t="n">
        <v>22</v>
      </c>
    </row>
    <row r="17" ht="15" customHeight="1">
      <c r="A17" s="5" t="inlineStr">
        <is>
          <t>Support, grievances &amp; ratings</t>
        </is>
      </c>
      <c r="B17" s="6" t="n">
        <v>14</v>
      </c>
      <c r="C17" s="6" t="n">
        <v>2</v>
      </c>
      <c r="D17" s="6" t="n">
        <v>0</v>
      </c>
      <c r="E17" s="6" t="n">
        <v>0</v>
      </c>
      <c r="F17" s="6" t="n">
        <v>0</v>
      </c>
      <c r="G17" s="6" t="n">
        <v>14</v>
      </c>
    </row>
    <row r="18" ht="15" customHeight="1">
      <c r="A18" s="5" t="inlineStr">
        <is>
          <t>Shop onboarding, KYC, fees &amp; suspension</t>
        </is>
      </c>
      <c r="B18" s="6" t="n">
        <v>47</v>
      </c>
      <c r="C18" s="6" t="n">
        <v>18</v>
      </c>
      <c r="D18" s="6" t="n">
        <v>0</v>
      </c>
      <c r="E18" s="6" t="n">
        <v>0</v>
      </c>
      <c r="F18" s="6" t="n">
        <v>0</v>
      </c>
      <c r="G18" s="6" t="n">
        <v>47</v>
      </c>
    </row>
    <row r="19" ht="15" customHeight="1">
      <c r="A19" s="5" t="inlineStr">
        <is>
          <t>Catalogue, pricing, MRP, inventory &amp; images</t>
        </is>
      </c>
      <c r="B19" s="6" t="n">
        <v>70</v>
      </c>
      <c r="C19" s="6" t="n">
        <v>35</v>
      </c>
      <c r="D19" s="6" t="n">
        <v>0</v>
      </c>
      <c r="E19" s="6" t="n">
        <v>0</v>
      </c>
      <c r="F19" s="6" t="n">
        <v>0</v>
      </c>
      <c r="G19" s="6" t="n">
        <v>70</v>
      </c>
    </row>
    <row r="20" ht="15" customHeight="1">
      <c r="A20" s="5" t="inlineStr">
        <is>
          <t>Product master data</t>
        </is>
      </c>
      <c r="B20" s="6" t="n">
        <v>6</v>
      </c>
      <c r="C20" s="6" t="n">
        <v>1</v>
      </c>
      <c r="D20" s="6" t="n">
        <v>0</v>
      </c>
      <c r="E20" s="6" t="n">
        <v>0</v>
      </c>
      <c r="F20" s="6" t="n">
        <v>0</v>
      </c>
      <c r="G20" s="6" t="n">
        <v>6</v>
      </c>
    </row>
    <row r="21" ht="15" customHeight="1">
      <c r="A21" s="5" t="inlineStr">
        <is>
          <t>Notifications</t>
        </is>
      </c>
      <c r="B21" s="6" t="n">
        <v>20</v>
      </c>
      <c r="C21" s="6" t="n">
        <v>3</v>
      </c>
      <c r="D21" s="6" t="n">
        <v>0</v>
      </c>
      <c r="E21" s="6" t="n">
        <v>0</v>
      </c>
      <c r="F21" s="6" t="n">
        <v>0</v>
      </c>
      <c r="G21" s="6" t="n">
        <v>20</v>
      </c>
    </row>
    <row r="22" ht="15" customHeight="1">
      <c r="A22" s="5" t="inlineStr">
        <is>
          <t>Finance, settlement &amp; rider earnings</t>
        </is>
      </c>
      <c r="B22" s="6" t="n">
        <v>32</v>
      </c>
      <c r="C22" s="6" t="n">
        <v>14</v>
      </c>
      <c r="D22" s="6" t="n">
        <v>0</v>
      </c>
      <c r="E22" s="6" t="n">
        <v>0</v>
      </c>
      <c r="F22" s="6" t="n">
        <v>0</v>
      </c>
      <c r="G22" s="6" t="n">
        <v>32</v>
      </c>
    </row>
    <row r="23" ht="15" customHeight="1">
      <c r="A23" s="5" t="inlineStr">
        <is>
          <t>Admin &amp; operations console</t>
        </is>
      </c>
      <c r="B23" s="6" t="n">
        <v>21</v>
      </c>
      <c r="C23" s="6" t="n">
        <v>7</v>
      </c>
      <c r="D23" s="6" t="n">
        <v>0</v>
      </c>
      <c r="E23" s="6" t="n">
        <v>0</v>
      </c>
      <c r="F23" s="6" t="n">
        <v>0</v>
      </c>
      <c r="G23" s="6" t="n">
        <v>21</v>
      </c>
    </row>
    <row r="24" ht="15" customHeight="1">
      <c r="A24" s="5" t="inlineStr">
        <is>
          <t>Marketing &amp; consent</t>
        </is>
      </c>
      <c r="B24" s="6" t="n">
        <v>17</v>
      </c>
      <c r="C24" s="6" t="n">
        <v>5</v>
      </c>
      <c r="D24" s="6" t="n">
        <v>0</v>
      </c>
      <c r="E24" s="6" t="n">
        <v>0</v>
      </c>
      <c r="F24" s="6" t="n">
        <v>0</v>
      </c>
      <c r="G24" s="6" t="n">
        <v>17</v>
      </c>
    </row>
    <row r="25" ht="15" customHeight="1">
      <c r="A25" s="5" t="inlineStr">
        <is>
          <t>Analytics &amp; KPIs</t>
        </is>
      </c>
      <c r="B25" s="6" t="n">
        <v>13</v>
      </c>
      <c r="C25" s="6" t="n">
        <v>1</v>
      </c>
      <c r="D25" s="6" t="n">
        <v>0</v>
      </c>
      <c r="E25" s="6" t="n">
        <v>0</v>
      </c>
      <c r="F25" s="6" t="n">
        <v>0</v>
      </c>
      <c r="G25" s="6" t="n">
        <v>13</v>
      </c>
    </row>
    <row r="26" ht="15" customHeight="1">
      <c r="A26" s="5" t="inlineStr">
        <is>
          <t>Security &amp; platform</t>
        </is>
      </c>
      <c r="B26" s="6" t="n">
        <v>10</v>
      </c>
      <c r="C26" s="6" t="n">
        <v>4</v>
      </c>
      <c r="D26" s="6" t="n">
        <v>0</v>
      </c>
      <c r="E26" s="6" t="n">
        <v>0</v>
      </c>
      <c r="F26" s="6" t="n">
        <v>0</v>
      </c>
      <c r="G26" s="6" t="n">
        <v>10</v>
      </c>
    </row>
    <row r="27" ht="15" customHeight="1">
      <c r="A27" s="5" t="inlineStr">
        <is>
          <t>Navigation, responsive &amp; legal</t>
        </is>
      </c>
      <c r="B27" s="6" t="n">
        <v>6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6</v>
      </c>
    </row>
    <row r="28" ht="15" customHeight="1">
      <c r="A28" s="5" t="inlineStr">
        <is>
          <t>Field-level validation</t>
        </is>
      </c>
      <c r="B28" s="6" t="n">
        <v>132</v>
      </c>
      <c r="C28" s="6" t="n">
        <v>27</v>
      </c>
      <c r="D28" s="6" t="n">
        <v>0</v>
      </c>
      <c r="E28" s="6" t="n">
        <v>0</v>
      </c>
      <c r="F28" s="6" t="n">
        <v>0</v>
      </c>
      <c r="G28" s="6" t="n">
        <v>132</v>
      </c>
    </row>
    <row r="29" ht="15" customHeight="1">
      <c r="A29" s="5" t="inlineStr">
        <is>
          <t>Sell, purchase &amp; inventory</t>
        </is>
      </c>
      <c r="B29" s="6" t="n">
        <v>28</v>
      </c>
      <c r="C29" s="6" t="n">
        <v>14</v>
      </c>
      <c r="D29" s="6" t="n">
        <v>0</v>
      </c>
      <c r="E29" s="6" t="n">
        <v>0</v>
      </c>
      <c r="F29" s="6" t="n">
        <v>0</v>
      </c>
      <c r="G29" s="6" t="n">
        <v>28</v>
      </c>
    </row>
    <row r="30" ht="15" customHeight="1">
      <c r="A30" s="5" t="inlineStr">
        <is>
          <t>Total</t>
        </is>
      </c>
      <c r="B30" s="5">
        <f>SUM(B2:B29)</f>
        <v/>
      </c>
      <c r="C30" s="5">
        <f>SUM(C2:C29)</f>
        <v/>
      </c>
      <c r="D30" s="5">
        <f>SUM(D2:D29)</f>
        <v/>
      </c>
      <c r="E30" s="5">
        <f>SUM(E2:E29)</f>
        <v/>
      </c>
      <c r="F30" s="5">
        <f>SUM(F2:F29)</f>
        <v/>
      </c>
      <c r="G30" s="5">
        <f>SUM(G2:G29)</f>
        <v/>
      </c>
    </row>
    <row r="32">
      <c r="A32" s="10" t="inlineStr">
        <is>
          <t>Source: test-cases.xlsx (prepared 3 Oct 2026; 791 cases, 35 end-to-end scenarios). Status read 14 Oct 2026: every case and scenario is 'Not run'. Update the Status column there as cases are executed.</t>
        </is>
      </c>
    </row>
  </sheetData>
  <autoFilter ref="A1:G3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2026-10-14T14:46:24Z</dcterms:created>
  <dcterms:modified xmlns:dcterms="http://purl.org/dc/terms/" xmlns:xsi="http://www.w3.org/2001/XMLSchema-instance" xsi:type="dcterms:W3CDTF">2026-10-14T14:46:25Z</dcterms:modified>
</cp:coreProperties>
</file>