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s &amp; Functions" sheetId="2" state="visible" r:id="rId2"/>
    <sheet xmlns:r="http://schemas.openxmlformats.org/officeDocument/2006/relationships" name="Workflow Trees" sheetId="3" state="visible" r:id="rId3"/>
    <sheet xmlns:r="http://schemas.openxmlformats.org/officeDocument/2006/relationships" name="Acceptance Tests" sheetId="4" state="visible" r:id="rId4"/>
    <sheet xmlns:r="http://schemas.openxmlformats.org/officeDocument/2006/relationships" name="Phases" sheetId="5" state="visible" r:id="rId5"/>
    <sheet xmlns:r="http://schemas.openxmlformats.org/officeDocument/2006/relationships" name="Gap List" sheetId="6" state="visible" r:id="rId6"/>
  </sheets>
  <definedNames>
    <definedName name="_xlnm._FilterDatabase" localSheetId="1" hidden="1">'Features &amp; Functions'!$A$1:$H$53</definedName>
    <definedName name="_xlnm._FilterDatabase" localSheetId="2" hidden="1">'Workflow Trees'!$A$1:$E$51</definedName>
    <definedName name="_xlnm._FilterDatabase" localSheetId="3" hidden="1">'Acceptance Tests'!$A$1:$E$16</definedName>
    <definedName name="_xlnm._FilterDatabase" localSheetId="4" hidden="1">'Phases'!$A$1:$F$8</definedName>
    <definedName name="_xlnm._FilterDatabase" localSheetId="5" hidden="1">'Gap List'!$A$1:$D$17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73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9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GoKesari - Shop-based Product Master &amp; Inventory spec vs. built code (18 Oct 2026)</t>
        </is>
      </c>
    </row>
    <row r="2" ht="75" customHeight="1">
      <c r="A2" s="2" t="inlineStr">
        <is>
          <t>Spec: "Gokesari Marketplace - Shop-Based Product Master, Inventory, MRP, Barcode &amp; Stock Management" (sections 1-44). Compared against GoKesari main @c96cd04 (live on gokesari.com) by reading the schema, services, API routes, screens and tests. Status: DONE = built and live; PARTIAL = built in part (see "Missing"); NOT BUILT = no code yet. Change a status with the dropdown - counts are formulas.</t>
        </is>
      </c>
    </row>
    <row r="4">
      <c r="A4" s="3" t="inlineStr">
        <is>
          <t>1. Features &amp; functions by status</t>
        </is>
      </c>
    </row>
    <row r="5">
      <c r="A5" s="4" t="inlineStr">
        <is>
          <t>Status</t>
        </is>
      </c>
      <c r="B5" s="4" t="inlineStr">
        <is>
          <t>Features / functions</t>
        </is>
      </c>
      <c r="C5" s="4" t="inlineStr">
        <is>
          <t>% of total</t>
        </is>
      </c>
    </row>
    <row r="6">
      <c r="A6" t="inlineStr">
        <is>
          <t>DONE</t>
        </is>
      </c>
      <c r="B6">
        <f>COUNTIF('Features &amp; Functions'!$E$2:$E$53,A6)</f>
        <v/>
      </c>
      <c r="C6" s="5">
        <f>IF($B$9=0,0,B6/$B$9)</f>
        <v/>
      </c>
    </row>
    <row r="7">
      <c r="A7" t="inlineStr">
        <is>
          <t>PARTIAL</t>
        </is>
      </c>
      <c r="B7">
        <f>COUNTIF('Features &amp; Functions'!$E$2:$E$53,A7)</f>
        <v/>
      </c>
      <c r="C7" s="5">
        <f>IF($B$9=0,0,B7/$B$9)</f>
        <v/>
      </c>
    </row>
    <row r="8">
      <c r="A8" t="inlineStr">
        <is>
          <t>NOT BUILT</t>
        </is>
      </c>
      <c r="B8">
        <f>COUNTIF('Features &amp; Functions'!$E$2:$E$53,A8)</f>
        <v/>
      </c>
      <c r="C8" s="5">
        <f>IF($B$9=0,0,B8/$B$9)</f>
        <v/>
      </c>
    </row>
    <row r="9">
      <c r="A9" t="inlineStr">
        <is>
          <t>Total</t>
        </is>
      </c>
      <c r="B9">
        <f>SUM(B6:B8)</f>
        <v/>
      </c>
      <c r="C9" s="5">
        <f>SUM(C6:C8)</f>
        <v/>
      </c>
    </row>
    <row r="11">
      <c r="A11" s="3" t="inlineStr">
        <is>
          <t>2. By area</t>
        </is>
      </c>
    </row>
    <row r="12">
      <c r="A12" s="4" t="inlineStr">
        <is>
          <t>Area</t>
        </is>
      </c>
      <c r="B12" s="4" t="inlineStr">
        <is>
          <t>DONE</t>
        </is>
      </c>
      <c r="C12" s="4" t="inlineStr">
        <is>
          <t>PARTIAL</t>
        </is>
      </c>
      <c r="D12" s="4" t="inlineStr">
        <is>
          <t>NOT BUILT</t>
        </is>
      </c>
      <c r="E12" s="4" t="inlineStr">
        <is>
          <t>Total</t>
        </is>
      </c>
      <c r="F12" s="4" t="inlineStr">
        <is>
          <t>% done</t>
        </is>
      </c>
    </row>
    <row r="13">
      <c r="A13" t="inlineStr">
        <is>
          <t>Marketplace model</t>
        </is>
      </c>
      <c r="B13">
        <f>COUNTIFS('Features &amp; Functions'!$C$2:$C$53,$A13,'Features &amp; Functions'!$E$2:$E$53,B$12)</f>
        <v/>
      </c>
      <c r="C13">
        <f>COUNTIFS('Features &amp; Functions'!$C$2:$C$53,$A13,'Features &amp; Functions'!$E$2:$E$53,C$12)</f>
        <v/>
      </c>
      <c r="D13">
        <f>COUNTIFS('Features &amp; Functions'!$C$2:$C$53,$A13,'Features &amp; Functions'!$E$2:$E$53,D$12)</f>
        <v/>
      </c>
      <c r="E13">
        <f>SUM(B13:D13)</f>
        <v/>
      </c>
      <c r="F13" s="5">
        <f>IF(E13=0,0,B13/E13)</f>
        <v/>
      </c>
    </row>
    <row r="14">
      <c r="A14" t="inlineStr">
        <is>
          <t>Product Master</t>
        </is>
      </c>
      <c r="B14">
        <f>COUNTIFS('Features &amp; Functions'!$C$2:$C$53,$A14,'Features &amp; Functions'!$E$2:$E$53,B$12)</f>
        <v/>
      </c>
      <c r="C14">
        <f>COUNTIFS('Features &amp; Functions'!$C$2:$C$53,$A14,'Features &amp; Functions'!$E$2:$E$53,C$12)</f>
        <v/>
      </c>
      <c r="D14">
        <f>COUNTIFS('Features &amp; Functions'!$C$2:$C$53,$A14,'Features &amp; Functions'!$E$2:$E$53,D$12)</f>
        <v/>
      </c>
      <c r="E14">
        <f>SUM(B14:D14)</f>
        <v/>
      </c>
      <c r="F14" s="5">
        <f>IF(E14=0,0,B14/E14)</f>
        <v/>
      </c>
    </row>
    <row r="15">
      <c r="A15" t="inlineStr">
        <is>
          <t>Admin</t>
        </is>
      </c>
      <c r="B15">
        <f>COUNTIFS('Features &amp; Functions'!$C$2:$C$53,$A15,'Features &amp; Functions'!$E$2:$E$53,B$12)</f>
        <v/>
      </c>
      <c r="C15">
        <f>COUNTIFS('Features &amp; Functions'!$C$2:$C$53,$A15,'Features &amp; Functions'!$E$2:$E$53,C$12)</f>
        <v/>
      </c>
      <c r="D15">
        <f>COUNTIFS('Features &amp; Functions'!$C$2:$C$53,$A15,'Features &amp; Functions'!$E$2:$E$53,D$12)</f>
        <v/>
      </c>
      <c r="E15">
        <f>SUM(B15:D15)</f>
        <v/>
      </c>
      <c r="F15" s="5">
        <f>IF(E15=0,0,B15/E15)</f>
        <v/>
      </c>
    </row>
    <row r="16">
      <c r="A16" t="inlineStr">
        <is>
          <t>Data ownership</t>
        </is>
      </c>
      <c r="B16">
        <f>COUNTIFS('Features &amp; Functions'!$C$2:$C$53,$A16,'Features &amp; Functions'!$E$2:$E$53,B$12)</f>
        <v/>
      </c>
      <c r="C16">
        <f>COUNTIFS('Features &amp; Functions'!$C$2:$C$53,$A16,'Features &amp; Functions'!$E$2:$E$53,C$12)</f>
        <v/>
      </c>
      <c r="D16">
        <f>COUNTIFS('Features &amp; Functions'!$C$2:$C$53,$A16,'Features &amp; Functions'!$E$2:$E$53,D$12)</f>
        <v/>
      </c>
      <c r="E16">
        <f>SUM(B16:D16)</f>
        <v/>
      </c>
      <c r="F16" s="5">
        <f>IF(E16=0,0,B16/E16)</f>
        <v/>
      </c>
    </row>
    <row r="17">
      <c r="A17" t="inlineStr">
        <is>
          <t>Migration</t>
        </is>
      </c>
      <c r="B17">
        <f>COUNTIFS('Features &amp; Functions'!$C$2:$C$53,$A17,'Features &amp; Functions'!$E$2:$E$53,B$12)</f>
        <v/>
      </c>
      <c r="C17">
        <f>COUNTIFS('Features &amp; Functions'!$C$2:$C$53,$A17,'Features &amp; Functions'!$E$2:$E$53,C$12)</f>
        <v/>
      </c>
      <c r="D17">
        <f>COUNTIFS('Features &amp; Functions'!$C$2:$C$53,$A17,'Features &amp; Functions'!$E$2:$E$53,D$12)</f>
        <v/>
      </c>
      <c r="E17">
        <f>SUM(B17:D17)</f>
        <v/>
      </c>
      <c r="F17" s="5">
        <f>IF(E17=0,0,B17/E17)</f>
        <v/>
      </c>
    </row>
    <row r="18">
      <c r="A18" t="inlineStr">
        <is>
          <t>Shop Inventory</t>
        </is>
      </c>
      <c r="B18">
        <f>COUNTIFS('Features &amp; Functions'!$C$2:$C$53,$A18,'Features &amp; Functions'!$E$2:$E$53,B$12)</f>
        <v/>
      </c>
      <c r="C18">
        <f>COUNTIFS('Features &amp; Functions'!$C$2:$C$53,$A18,'Features &amp; Functions'!$E$2:$E$53,C$12)</f>
        <v/>
      </c>
      <c r="D18">
        <f>COUNTIFS('Features &amp; Functions'!$C$2:$C$53,$A18,'Features &amp; Functions'!$E$2:$E$53,D$12)</f>
        <v/>
      </c>
      <c r="E18">
        <f>SUM(B18:D18)</f>
        <v/>
      </c>
      <c r="F18" s="5">
        <f>IF(E18=0,0,B18/E18)</f>
        <v/>
      </c>
    </row>
    <row r="19">
      <c r="A19" t="inlineStr">
        <is>
          <t>Barcode</t>
        </is>
      </c>
      <c r="B19">
        <f>COUNTIFS('Features &amp; Functions'!$C$2:$C$53,$A19,'Features &amp; Functions'!$E$2:$E$53,B$12)</f>
        <v/>
      </c>
      <c r="C19">
        <f>COUNTIFS('Features &amp; Functions'!$C$2:$C$53,$A19,'Features &amp; Functions'!$E$2:$E$53,C$12)</f>
        <v/>
      </c>
      <c r="D19">
        <f>COUNTIFS('Features &amp; Functions'!$C$2:$C$53,$A19,'Features &amp; Functions'!$E$2:$E$53,D$12)</f>
        <v/>
      </c>
      <c r="E19">
        <f>SUM(B19:D19)</f>
        <v/>
      </c>
      <c r="F19" s="5">
        <f>IF(E19=0,0,B19/E19)</f>
        <v/>
      </c>
    </row>
    <row r="20">
      <c r="A20" t="inlineStr">
        <is>
          <t>Alerts</t>
        </is>
      </c>
      <c r="B20">
        <f>COUNTIFS('Features &amp; Functions'!$C$2:$C$53,$A20,'Features &amp; Functions'!$E$2:$E$53,B$12)</f>
        <v/>
      </c>
      <c r="C20">
        <f>COUNTIFS('Features &amp; Functions'!$C$2:$C$53,$A20,'Features &amp; Functions'!$E$2:$E$53,C$12)</f>
        <v/>
      </c>
      <c r="D20">
        <f>COUNTIFS('Features &amp; Functions'!$C$2:$C$53,$A20,'Features &amp; Functions'!$E$2:$E$53,D$12)</f>
        <v/>
      </c>
      <c r="E20">
        <f>SUM(B20:D20)</f>
        <v/>
      </c>
      <c r="F20" s="5">
        <f>IF(E20=0,0,B20/E20)</f>
        <v/>
      </c>
    </row>
    <row r="21">
      <c r="A21" t="inlineStr">
        <is>
          <t>Customer</t>
        </is>
      </c>
      <c r="B21">
        <f>COUNTIFS('Features &amp; Functions'!$C$2:$C$53,$A21,'Features &amp; Functions'!$E$2:$E$53,B$12)</f>
        <v/>
      </c>
      <c r="C21">
        <f>COUNTIFS('Features &amp; Functions'!$C$2:$C$53,$A21,'Features &amp; Functions'!$E$2:$E$53,C$12)</f>
        <v/>
      </c>
      <c r="D21">
        <f>COUNTIFS('Features &amp; Functions'!$C$2:$C$53,$A21,'Features &amp; Functions'!$E$2:$E$53,D$12)</f>
        <v/>
      </c>
      <c r="E21">
        <f>SUM(B21:D21)</f>
        <v/>
      </c>
      <c r="F21" s="5">
        <f>IF(E21=0,0,B21/E21)</f>
        <v/>
      </c>
    </row>
    <row r="22">
      <c r="A22" t="inlineStr">
        <is>
          <t>Bulk import</t>
        </is>
      </c>
      <c r="B22">
        <f>COUNTIFS('Features &amp; Functions'!$C$2:$C$53,$A22,'Features &amp; Functions'!$E$2:$E$53,B$12)</f>
        <v/>
      </c>
      <c r="C22">
        <f>COUNTIFS('Features &amp; Functions'!$C$2:$C$53,$A22,'Features &amp; Functions'!$E$2:$E$53,C$12)</f>
        <v/>
      </c>
      <c r="D22">
        <f>COUNTIFS('Features &amp; Functions'!$C$2:$C$53,$A22,'Features &amp; Functions'!$E$2:$E$53,D$12)</f>
        <v/>
      </c>
      <c r="E22">
        <f>SUM(B22:D22)</f>
        <v/>
      </c>
      <c r="F22" s="5">
        <f>IF(E22=0,0,B22/E22)</f>
        <v/>
      </c>
    </row>
    <row r="23">
      <c r="A23" t="inlineStr">
        <is>
          <t>Inventory history</t>
        </is>
      </c>
      <c r="B23">
        <f>COUNTIFS('Features &amp; Functions'!$C$2:$C$53,$A23,'Features &amp; Functions'!$E$2:$E$53,B$12)</f>
        <v/>
      </c>
      <c r="C23">
        <f>COUNTIFS('Features &amp; Functions'!$C$2:$C$53,$A23,'Features &amp; Functions'!$E$2:$E$53,C$12)</f>
        <v/>
      </c>
      <c r="D23">
        <f>COUNTIFS('Features &amp; Functions'!$C$2:$C$53,$A23,'Features &amp; Functions'!$E$2:$E$53,D$12)</f>
        <v/>
      </c>
      <c r="E23">
        <f>SUM(B23:D23)</f>
        <v/>
      </c>
      <c r="F23" s="5">
        <f>IF(E23=0,0,B23/E23)</f>
        <v/>
      </c>
    </row>
    <row r="24">
      <c r="A24" t="inlineStr">
        <is>
          <t>Orders</t>
        </is>
      </c>
      <c r="B24">
        <f>COUNTIFS('Features &amp; Functions'!$C$2:$C$53,$A24,'Features &amp; Functions'!$E$2:$E$53,B$12)</f>
        <v/>
      </c>
      <c r="C24">
        <f>COUNTIFS('Features &amp; Functions'!$C$2:$C$53,$A24,'Features &amp; Functions'!$E$2:$E$53,C$12)</f>
        <v/>
      </c>
      <c r="D24">
        <f>COUNTIFS('Features &amp; Functions'!$C$2:$C$53,$A24,'Features &amp; Functions'!$E$2:$E$53,D$12)</f>
        <v/>
      </c>
      <c r="E24">
        <f>SUM(B24:D24)</f>
        <v/>
      </c>
      <c r="F24" s="5">
        <f>IF(E24=0,0,B24/E24)</f>
        <v/>
      </c>
    </row>
    <row r="25">
      <c r="A25" t="inlineStr">
        <is>
          <t>External data</t>
        </is>
      </c>
      <c r="B25">
        <f>COUNTIFS('Features &amp; Functions'!$C$2:$C$53,$A25,'Features &amp; Functions'!$E$2:$E$53,B$12)</f>
        <v/>
      </c>
      <c r="C25">
        <f>COUNTIFS('Features &amp; Functions'!$C$2:$C$53,$A25,'Features &amp; Functions'!$E$2:$E$53,C$12)</f>
        <v/>
      </c>
      <c r="D25">
        <f>COUNTIFS('Features &amp; Functions'!$C$2:$C$53,$A25,'Features &amp; Functions'!$E$2:$E$53,D$12)</f>
        <v/>
      </c>
      <c r="E25">
        <f>SUM(B25:D25)</f>
        <v/>
      </c>
      <c r="F25" s="5">
        <f>IF(E25=0,0,B25/E25)</f>
        <v/>
      </c>
    </row>
    <row r="26">
      <c r="A26" t="inlineStr">
        <is>
          <t>Supplier / restock (future)</t>
        </is>
      </c>
      <c r="B26">
        <f>COUNTIFS('Features &amp; Functions'!$C$2:$C$53,$A26,'Features &amp; Functions'!$E$2:$E$53,B$12)</f>
        <v/>
      </c>
      <c r="C26">
        <f>COUNTIFS('Features &amp; Functions'!$C$2:$C$53,$A26,'Features &amp; Functions'!$E$2:$E$53,C$12)</f>
        <v/>
      </c>
      <c r="D26">
        <f>COUNTIFS('Features &amp; Functions'!$C$2:$C$53,$A26,'Features &amp; Functions'!$E$2:$E$53,D$12)</f>
        <v/>
      </c>
      <c r="E26">
        <f>SUM(B26:D26)</f>
        <v/>
      </c>
      <c r="F26" s="5">
        <f>IF(E26=0,0,B26/E26)</f>
        <v/>
      </c>
    </row>
    <row r="27">
      <c r="A27" t="inlineStr">
        <is>
          <t>Permissions</t>
        </is>
      </c>
      <c r="B27">
        <f>COUNTIFS('Features &amp; Functions'!$C$2:$C$53,$A27,'Features &amp; Functions'!$E$2:$E$53,B$12)</f>
        <v/>
      </c>
      <c r="C27">
        <f>COUNTIFS('Features &amp; Functions'!$C$2:$C$53,$A27,'Features &amp; Functions'!$E$2:$E$53,C$12)</f>
        <v/>
      </c>
      <c r="D27">
        <f>COUNTIFS('Features &amp; Functions'!$C$2:$C$53,$A27,'Features &amp; Functions'!$E$2:$E$53,D$12)</f>
        <v/>
      </c>
      <c r="E27">
        <f>SUM(B27:D27)</f>
        <v/>
      </c>
      <c r="F27" s="5">
        <f>IF(E27=0,0,B27/E27)</f>
        <v/>
      </c>
    </row>
    <row r="28">
      <c r="A28" t="inlineStr">
        <is>
          <t>Security</t>
        </is>
      </c>
      <c r="B28">
        <f>COUNTIFS('Features &amp; Functions'!$C$2:$C$53,$A28,'Features &amp; Functions'!$E$2:$E$53,B$12)</f>
        <v/>
      </c>
      <c r="C28">
        <f>COUNTIFS('Features &amp; Functions'!$C$2:$C$53,$A28,'Features &amp; Functions'!$E$2:$E$53,C$12)</f>
        <v/>
      </c>
      <c r="D28">
        <f>COUNTIFS('Features &amp; Functions'!$C$2:$C$53,$A28,'Features &amp; Functions'!$E$2:$E$53,D$12)</f>
        <v/>
      </c>
      <c r="E28">
        <f>SUM(B28:D28)</f>
        <v/>
      </c>
      <c r="F28" s="5">
        <f>IF(E28=0,0,B28/E28)</f>
        <v/>
      </c>
    </row>
    <row r="29">
      <c r="A29" t="inlineStr">
        <is>
          <t>Scalability</t>
        </is>
      </c>
      <c r="B29">
        <f>COUNTIFS('Features &amp; Functions'!$C$2:$C$53,$A29,'Features &amp; Functions'!$E$2:$E$53,B$12)</f>
        <v/>
      </c>
      <c r="C29">
        <f>COUNTIFS('Features &amp; Functions'!$C$2:$C$53,$A29,'Features &amp; Functions'!$E$2:$E$53,C$12)</f>
        <v/>
      </c>
      <c r="D29">
        <f>COUNTIFS('Features &amp; Functions'!$C$2:$C$53,$A29,'Features &amp; Functions'!$E$2:$E$53,D$12)</f>
        <v/>
      </c>
      <c r="E29">
        <f>SUM(B29:D29)</f>
        <v/>
      </c>
      <c r="F29" s="5">
        <f>IF(E29=0,0,B29/E29)</f>
        <v/>
      </c>
    </row>
    <row r="30">
      <c r="A30" t="inlineStr">
        <is>
          <t>AI</t>
        </is>
      </c>
      <c r="B30">
        <f>COUNTIFS('Features &amp; Functions'!$C$2:$C$53,$A30,'Features &amp; Functions'!$E$2:$E$53,B$12)</f>
        <v/>
      </c>
      <c r="C30">
        <f>COUNTIFS('Features &amp; Functions'!$C$2:$C$53,$A30,'Features &amp; Functions'!$E$2:$E$53,C$12)</f>
        <v/>
      </c>
      <c r="D30">
        <f>COUNTIFS('Features &amp; Functions'!$C$2:$C$53,$A30,'Features &amp; Functions'!$E$2:$E$53,D$12)</f>
        <v/>
      </c>
      <c r="E30">
        <f>SUM(B30:D30)</f>
        <v/>
      </c>
      <c r="F30" s="5">
        <f>IF(E30=0,0,B30/E30)</f>
        <v/>
      </c>
    </row>
    <row r="31">
      <c r="A31" s="3" t="inlineStr">
        <is>
          <t>Total</t>
        </is>
      </c>
      <c r="B31">
        <f>SUM(B13:B30)</f>
        <v/>
      </c>
      <c r="C31">
        <f>SUM(C13:C30)</f>
        <v/>
      </c>
      <c r="D31">
        <f>SUM(D13:D30)</f>
        <v/>
      </c>
      <c r="E31">
        <f>SUM(E13:E30)</f>
        <v/>
      </c>
      <c r="F31" s="5">
        <f>IF(E31=0,0,B31/E31)</f>
        <v/>
      </c>
    </row>
    <row r="33">
      <c r="A33" s="3" t="inlineStr">
        <is>
          <t>3. Workflow steps by status</t>
        </is>
      </c>
    </row>
    <row r="34">
      <c r="A34" s="4" t="inlineStr">
        <is>
          <t>Status</t>
        </is>
      </c>
      <c r="B34" s="4" t="inlineStr">
        <is>
          <t>Steps</t>
        </is>
      </c>
    </row>
    <row r="35">
      <c r="A35" t="inlineStr">
        <is>
          <t>DONE</t>
        </is>
      </c>
      <c r="B35">
        <f>COUNTIFS('Workflow Trees'!$B$2:$B$51,2,'Workflow Trees'!$D$2:$D$51,A35)</f>
        <v/>
      </c>
    </row>
    <row r="36">
      <c r="A36" t="inlineStr">
        <is>
          <t>PARTIAL</t>
        </is>
      </c>
      <c r="B36">
        <f>COUNTIFS('Workflow Trees'!$B$2:$B$51,2,'Workflow Trees'!$D$2:$D$51,A36)</f>
        <v/>
      </c>
    </row>
    <row r="37">
      <c r="A37" t="inlineStr">
        <is>
          <t>NOT BUILT</t>
        </is>
      </c>
      <c r="B37">
        <f>COUNTIFS('Workflow Trees'!$B$2:$B$51,2,'Workflow Trees'!$D$2:$D$51,A37)</f>
        <v/>
      </c>
    </row>
    <row r="39">
      <c r="A39" s="3" t="inlineStr">
        <is>
          <t>4. Mandatory acceptance tests (§43)</t>
        </is>
      </c>
    </row>
    <row r="40">
      <c r="A40" s="4" t="inlineStr">
        <is>
          <t>Coverage</t>
        </is>
      </c>
      <c r="B40" s="4" t="inlineStr">
        <is>
          <t>Tests</t>
        </is>
      </c>
    </row>
    <row r="41">
      <c r="A41" t="inlineStr">
        <is>
          <t>COVERED</t>
        </is>
      </c>
      <c r="B41">
        <f>COUNTIF('Acceptance Tests'!$C$2:$C$16,A41)</f>
        <v/>
      </c>
    </row>
    <row r="42">
      <c r="A42" t="inlineStr">
        <is>
          <t>PARTLY</t>
        </is>
      </c>
      <c r="B42">
        <f>COUNTIF('Acceptance Tests'!$C$2:$C$16,A42)</f>
        <v/>
      </c>
    </row>
    <row r="43">
      <c r="A43" t="inlineStr">
        <is>
          <t>NOT COVERED</t>
        </is>
      </c>
      <c r="B43">
        <f>COUNTIF('Acceptance Tests'!$C$2:$C$16,A43)</f>
        <v/>
      </c>
    </row>
    <row r="45">
      <c r="A45" s="3" t="inlineStr">
        <is>
          <t>5. Headlines</t>
        </is>
      </c>
    </row>
    <row r="46" ht="45" customHeight="1">
      <c r="A46" s="2" t="inlineStr">
        <is>
          <t>The marketplace model is intact: shops stay the seller, every inventory row belongs to one shop, the master is shared, MRP is master-level and shop prices are per shop. Server-side shop isolation is in place on every inventory route.</t>
        </is>
      </c>
    </row>
    <row r="47" ht="45" customHeight="1">
      <c r="A47" s="2" t="inlineStr">
        <is>
          <t>Built and live: per-shop stock, low-stock / reorder thresholds, de-duplicated stock alerts (dashboard + bell), out-of-stock per shop, inventory dashboard with value, offers, atomic no-oversell checkout, MRP governance with a correction queue, bulk Excel / CSV shop upload (15 Oct).</t>
        </is>
      </c>
    </row>
    <row r="48" ht="45" customHeight="1">
      <c r="A48" s="2" t="inlineStr">
        <is>
          <t>Not built: barcode scanning (Phase 3), per-GTIN external lookup / live GS1 (Phase 5 - waits on the GS1 agreement), purchase orders, AI product recognition.</t>
        </is>
      </c>
    </row>
    <row r="49" ht="45" customHeight="1">
      <c r="A49" s="2" t="inlineStr">
        <is>
          <t>Gaps to fix first: controlled Request New Product, restock on customer returns, shop flows writing master MRP, admin edit screens for master fields / brands / subcategories, a Reorder List page, richer Add Product form.</t>
        </is>
      </c>
    </row>
    <row r="50" ht="45" customHeight="1">
      <c r="A50" s="2" t="inlineStr">
        <is>
          <t>Tests: 6 of the 15 acceptance tests fully covered, 8 partly, 1 not (concurrent last-unit oversell).</t>
        </is>
      </c>
    </row>
  </sheetData>
  <mergeCells count="6">
    <mergeCell ref="A2:F2"/>
    <mergeCell ref="A49:F49"/>
    <mergeCell ref="A47:F47"/>
    <mergeCell ref="A46:F46"/>
    <mergeCell ref="A50:F50"/>
    <mergeCell ref="A48:F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46" customWidth="1" min="4" max="4"/>
    <col width="12" customWidth="1" min="5" max="5"/>
    <col width="60" customWidth="1" min="6" max="6"/>
    <col width="55" customWidth="1" min="7" max="7"/>
    <col width="40" customWidth="1" min="8" max="8"/>
  </cols>
  <sheetData>
    <row r="1">
      <c r="A1" s="6" t="inlineStr">
        <is>
          <t>ID</t>
        </is>
      </c>
      <c r="B1" s="6" t="inlineStr">
        <is>
          <t>Spec section</t>
        </is>
      </c>
      <c r="C1" s="6" t="inlineStr">
        <is>
          <t>Area</t>
        </is>
      </c>
      <c r="D1" s="6" t="inlineStr">
        <is>
          <t>Feature / function</t>
        </is>
      </c>
      <c r="E1" s="6" t="inlineStr">
        <is>
          <t>Status</t>
        </is>
      </c>
      <c r="F1" s="6" t="inlineStr">
        <is>
          <t>What exists today</t>
        </is>
      </c>
      <c r="G1" s="6" t="inlineStr">
        <is>
          <t>Missing / gap</t>
        </is>
      </c>
      <c r="H1" s="6" t="inlineStr">
        <is>
          <t>Evidence (code)</t>
        </is>
      </c>
    </row>
    <row r="2">
      <c r="A2" s="7" t="inlineStr">
        <is>
          <t>MP-01</t>
        </is>
      </c>
      <c r="B2" s="7" t="inlineStr">
        <is>
          <t>§1, §5, §44</t>
        </is>
      </c>
      <c r="C2" s="7" t="inlineStr">
        <is>
          <t>Marketplace model</t>
        </is>
      </c>
      <c r="D2" s="7" t="inlineStr">
        <is>
          <t>GoKesari stays a multi-shop marketplace; shop is the seller, GoKesari is not</t>
        </is>
      </c>
      <c r="E2" s="7" t="inlineStr">
        <is>
          <t>DONE</t>
        </is>
      </c>
      <c r="F2" s="7" t="inlineStr">
        <is>
          <t>Carts split into one order per shop; orders.shop_id; invoice names the shop as supplier ("Sold by"); About page says GoKesari is not the seller of record</t>
        </is>
      </c>
      <c r="G2" s="7" t="inlineStr">
        <is>
          <t>-</t>
        </is>
      </c>
      <c r="H2" s="7" t="inlineStr">
        <is>
          <t>services/invoices.ts; app/invoices/[id]/page.tsx; tests/integration/checkout.test.ts</t>
        </is>
      </c>
    </row>
    <row r="3">
      <c r="A3" s="7" t="inlineStr">
        <is>
          <t>MP-02</t>
        </is>
      </c>
      <c r="B3" s="7" t="inlineStr">
        <is>
          <t>§5, §6</t>
        </is>
      </c>
      <c r="C3" s="7" t="inlineStr">
        <is>
          <t>Marketplace model</t>
        </is>
      </c>
      <c r="D3" s="7" t="inlineStr">
        <is>
          <t>Every inventory record belongs to one registered shop; shop → shop product → product master</t>
        </is>
      </c>
      <c r="E3" s="7" t="inlineStr">
        <is>
          <t>DONE</t>
        </is>
      </c>
      <c r="F3" s="7" t="inlineStr">
        <is>
          <t>shop_products(shop_id, product_id) NOT NULL FKs, unique per shop + product; master never owns stock</t>
        </is>
      </c>
      <c r="G3" s="7" t="inlineStr">
        <is>
          <t>-</t>
        </is>
      </c>
      <c r="H3" s="7" t="inlineStr">
        <is>
          <t>schema.ts:1519-1621</t>
        </is>
      </c>
    </row>
    <row r="4">
      <c r="A4" s="7" t="inlineStr">
        <is>
          <t>PM-01</t>
        </is>
      </c>
      <c r="B4" s="7" t="inlineStr">
        <is>
          <t>§3, §7</t>
        </is>
      </c>
      <c r="C4" s="7" t="inlineStr">
        <is>
          <t>Product Master</t>
        </is>
      </c>
      <c r="D4" s="7" t="inlineStr">
        <is>
          <t>Central Product Master as a shared catalogue that shops reference</t>
        </is>
      </c>
      <c r="E4" s="7" t="inlineStr">
        <is>
          <t>DONE</t>
        </is>
      </c>
      <c r="F4" s="7" t="inlineStr">
        <is>
          <t>public.products shared by all shops via shop_products.product_id; separate PMD data platform (pmd.*) feeds it through pmd.catalogue_link</t>
        </is>
      </c>
      <c r="G4" s="7" t="inlineStr">
        <is>
          <t>-</t>
        </is>
      </c>
      <c r="H4" s="7" t="inlineStr">
        <is>
          <t>schema.ts:1314-1443; drizzle/0015</t>
        </is>
      </c>
    </row>
    <row r="5">
      <c r="A5" s="7" t="inlineStr">
        <is>
          <t>PM-02</t>
        </is>
      </c>
      <c r="B5" s="7" t="inlineStr">
        <is>
          <t>§7</t>
        </is>
      </c>
      <c r="C5" s="7" t="inlineStr">
        <is>
          <t>Product Master</t>
        </is>
      </c>
      <c r="D5" s="7" t="inlineStr">
        <is>
          <t>Identity: productId, productName, shortName, internalSKU, GTIN, EAN, UPC, barcode</t>
        </is>
      </c>
      <c r="E5" s="7" t="inlineStr">
        <is>
          <t>PARTIAL</t>
        </is>
      </c>
      <c r="F5" s="7" t="inlineStr">
        <is>
          <t>id, code (P00001 = internal SKU), name, gtin (EAN/UPC stored in gtin), barcode (non-GTIN)</t>
        </is>
      </c>
      <c r="G5" s="7" t="inlineStr">
        <is>
          <t>shortName; separate EAN / UPC columns (pmd.product_master has them)</t>
        </is>
      </c>
      <c r="H5" s="7" t="inlineStr">
        <is>
          <t>schema.ts:1317-1356</t>
        </is>
      </c>
    </row>
    <row r="6">
      <c r="A6" s="7" t="inlineStr">
        <is>
          <t>PM-03</t>
        </is>
      </c>
      <c r="B6" s="7" t="inlineStr">
        <is>
          <t>§8</t>
        </is>
      </c>
      <c r="C6" s="7" t="inlineStr">
        <is>
          <t>Product Master</t>
        </is>
      </c>
      <c r="D6" s="7" t="inlineStr">
        <is>
          <t>Brand Master table (brandId, brandName, brandCode, description, logoUrl, status, dates); products reference brand</t>
        </is>
      </c>
      <c r="E6" s="7" t="inlineStr">
        <is>
          <t>PARTIAL</t>
        </is>
      </c>
      <c r="F6" s="7" t="inlineStr">
        <is>
          <t>brands table (name, slug, description, logo_url, is_active, timestamps); products.brand_id FK; create/update service with audit</t>
        </is>
      </c>
      <c r="G6" s="7" t="inlineStr">
        <is>
          <t>brand_code; status is a boolean; NO admin screen or API calls the brand create/update service</t>
        </is>
      </c>
      <c r="H6" s="7" t="inlineStr">
        <is>
          <t>schema.ts:1215-1234; services/brands.ts</t>
        </is>
      </c>
    </row>
    <row r="7">
      <c r="A7" s="7" t="inlineStr">
        <is>
          <t>PM-04</t>
        </is>
      </c>
      <c r="B7" s="7" t="inlineStr">
        <is>
          <t>§9</t>
        </is>
      </c>
      <c r="C7" s="7" t="inlineStr">
        <is>
          <t>Product Master</t>
        </is>
      </c>
      <c r="D7" s="7" t="inlineStr">
        <is>
          <t>Category + subcategory tables; product references categoryId and subcategoryId</t>
        </is>
      </c>
      <c r="E7" s="7" t="inlineStr">
        <is>
          <t>PARTIAL</t>
        </is>
      </c>
      <c r="F7" s="7" t="inlineStr">
        <is>
          <t>product_categories + product_subcategories; products.category_id / subcategory_id; Category Master page /product-categories with CRUD API</t>
        </is>
      </c>
      <c r="G7" s="7" t="inlineStr">
        <is>
          <t>No subcategory create / edit service, API or screen; product create still takes the old free-text sub-category</t>
        </is>
      </c>
      <c r="H7" s="7" t="inlineStr">
        <is>
          <t>schema.ts:1246-1308; app/product-categories</t>
        </is>
      </c>
    </row>
    <row r="8">
      <c r="A8" s="7" t="inlineStr">
        <is>
          <t>PM-05</t>
        </is>
      </c>
      <c r="B8" s="7" t="inlineStr">
        <is>
          <t>§7</t>
        </is>
      </c>
      <c r="C8" s="7" t="inlineStr">
        <is>
          <t>Product Master</t>
        </is>
      </c>
      <c r="D8" s="7" t="inlineStr">
        <is>
          <t>Packaging: pack size, pack unit, net quantity, quantity unit, variant, flavour, size, colour</t>
        </is>
      </c>
      <c r="E8" s="7" t="inlineStr">
        <is>
          <t>PARTIAL</t>
        </is>
      </c>
      <c r="F8" s="7" t="inlineStr">
        <is>
          <t>net_quantity, net_quantity_unit, unit, unit_size_milli, variant; extras kept in product_attributes (jsonb)</t>
        </is>
      </c>
      <c r="G8" s="7" t="inlineStr">
        <is>
          <t>pack size / pack unit, flavour, size, colour columns</t>
        </is>
      </c>
      <c r="H8" s="7" t="inlineStr">
        <is>
          <t>schema.ts:1358, 1390-1396</t>
        </is>
      </c>
    </row>
    <row r="9">
      <c r="A9" s="7" t="inlineStr">
        <is>
          <t>PM-06</t>
        </is>
      </c>
      <c r="B9" s="7" t="inlineStr">
        <is>
          <t>§7</t>
        </is>
      </c>
      <c r="C9" s="7" t="inlineStr">
        <is>
          <t>Product Master</t>
        </is>
      </c>
      <c r="D9" s="7" t="inlineStr">
        <is>
          <t>Manufacturer name, address, country of origin</t>
        </is>
      </c>
      <c r="E9" s="7" t="inlineStr">
        <is>
          <t>DONE</t>
        </is>
      </c>
      <c r="F9" s="7" t="inlineStr">
        <is>
          <t>manufacturer_name, manufacturer_address, country_of_origin on products</t>
        </is>
      </c>
      <c r="G9" s="7" t="inlineStr">
        <is>
          <t>No admin edit screen (see PM-13)</t>
        </is>
      </c>
      <c r="H9" s="7" t="inlineStr">
        <is>
          <t>schema.ts:1387-1389</t>
        </is>
      </c>
    </row>
    <row r="10">
      <c r="A10" s="7" t="inlineStr">
        <is>
          <t>PM-07</t>
        </is>
      </c>
      <c r="B10" s="7" t="inlineStr">
        <is>
          <t>§7</t>
        </is>
      </c>
      <c r="C10" s="7" t="inlineStr">
        <is>
          <t>Product Master</t>
        </is>
      </c>
      <c r="D10" s="7" t="inlineStr">
        <is>
          <t>Tax: HSN, GST rate, tax category</t>
        </is>
      </c>
      <c r="E10" s="7" t="inlineStr">
        <is>
          <t>PARTIAL</t>
        </is>
      </c>
      <c r="F10" s="7" t="inlineStr">
        <is>
          <t>hsn_code, gst_rate_bp (checked); shop-level HSN / GST / cess overrides on shop_products</t>
        </is>
      </c>
      <c r="G10" s="7" t="inlineStr">
        <is>
          <t>taxCategory; cess on the master</t>
        </is>
      </c>
      <c r="H10" s="7" t="inlineStr">
        <is>
          <t>schema.ts:1376-1377, 1548-1550</t>
        </is>
      </c>
    </row>
    <row r="11">
      <c r="A11" s="7" t="inlineStr">
        <is>
          <t>PM-08</t>
        </is>
      </c>
      <c r="B11" s="7" t="inlineStr">
        <is>
          <t>§7, §10</t>
        </is>
      </c>
      <c r="C11" s="7" t="inlineStr">
        <is>
          <t>Product Master</t>
        </is>
      </c>
      <c r="D11" s="7" t="inlineStr">
        <is>
          <t>MRP at master level: MRP, currency, source, effective date, verification status, last updated; MRP history</t>
        </is>
      </c>
      <c r="E11" s="7" t="inlineStr">
        <is>
          <t>PARTIAL</t>
        </is>
      </c>
      <c r="F11" s="7" t="inlineStr">
        <is>
          <t>mrp_paise, mrp_source, mrp_effective_from, mrp_verification_status, mrp_updated_at; product_mrp_history table</t>
        </is>
      </c>
      <c r="G11" s="7" t="inlineStr">
        <is>
          <t>currency column (INR assumed)</t>
        </is>
      </c>
      <c r="H11" s="7" t="inlineStr">
        <is>
          <t>schema.ts:1365-1371, 1450-1468</t>
        </is>
      </c>
    </row>
    <row r="12">
      <c r="A12" s="7" t="inlineStr">
        <is>
          <t>PM-09</t>
        </is>
      </c>
      <c r="B12" s="7" t="inlineStr">
        <is>
          <t>§11, §36</t>
        </is>
      </c>
      <c r="C12" s="7" t="inlineStr">
        <is>
          <t>Product Master</t>
        </is>
      </c>
      <c r="D12" s="7" t="inlineStr">
        <is>
          <t>Migration: unknown MRP = NULL + PENDING; never copy selling price into MRP</t>
        </is>
      </c>
      <c r="E12" s="7" t="inlineStr">
        <is>
          <t>PARTIAL</t>
        </is>
      </c>
      <c r="F12" s="7" t="inlineStr">
        <is>
          <t>MRP added nullable, no backfill; no migration copies price into MRP</t>
        </is>
      </c>
      <c r="G12" s="7" t="inlineStr">
        <is>
          <t>Default verification status is UNVERIFIED, not PENDING</t>
        </is>
      </c>
      <c r="H12" s="7" t="inlineStr">
        <is>
          <t>drizzle/0014:70-74</t>
        </is>
      </c>
    </row>
    <row r="13">
      <c r="A13" s="7" t="inlineStr">
        <is>
          <t>PM-10</t>
        </is>
      </c>
      <c r="B13" s="7" t="inlineStr">
        <is>
          <t>§12, §32</t>
        </is>
      </c>
      <c r="C13" s="7" t="inlineStr">
        <is>
          <t>Product Master</t>
        </is>
      </c>
      <c r="D13" s="7" t="inlineStr">
        <is>
          <t>Shop selling price never overwrites master MRP; shop cannot change verified MRP</t>
        </is>
      </c>
      <c r="E13" s="7" t="inlineStr">
        <is>
          <t>PARTIAL</t>
        </is>
      </c>
      <c r="F13" s="7" t="inlineStr">
        <is>
          <t>Only ADMIN / OPERATOR can set master MRP (history + audit); shops raise MRP corrections; price above MRP refused; bulk import writes MRP to the listing only</t>
        </is>
      </c>
      <c r="G13" s="7" t="inlineStr">
        <is>
          <t>Leak: purchase-bill flow writes MRP, barcode and HSN onto a NEW master product created from a shop bill, with no MRP history row</t>
        </is>
      </c>
      <c r="H13" s="7" t="inlineStr">
        <is>
          <t>services/product-master.ts:129-187; mrp-governance.ts; accounts/purchases.ts:158-161</t>
        </is>
      </c>
    </row>
    <row r="14">
      <c r="A14" s="7" t="inlineStr">
        <is>
          <t>PM-11</t>
        </is>
      </c>
      <c r="B14" s="7" t="inlineStr">
        <is>
          <t>§20</t>
        </is>
      </c>
      <c r="C14" s="7" t="inlineStr">
        <is>
          <t>Product Master</t>
        </is>
      </c>
      <c r="D14" s="7" t="inlineStr">
        <is>
          <t>Multiple images: product_images (imageId, productId, url, isPrimary, displayOrder, imageType, createdAt)</t>
        </is>
      </c>
      <c r="E14" s="7" t="inlineStr">
        <is>
          <t>PARTIAL</t>
        </is>
      </c>
      <c r="F14" s="7" t="inlineStr">
        <is>
          <t>product_images with is_primary, sort_order, alt_text, per-listing images, moderation, one-primary index; multi-image API</t>
        </is>
      </c>
      <c r="G14" s="7" t="inlineStr">
        <is>
          <t>imageType column</t>
        </is>
      </c>
      <c r="H14" s="7" t="inlineStr">
        <is>
          <t>schema.ts:1478-1513; services/product-images.ts</t>
        </is>
      </c>
    </row>
    <row r="15">
      <c r="A15" s="7" t="inlineStr">
        <is>
          <t>PM-12</t>
        </is>
      </c>
      <c r="B15" s="7" t="inlineStr">
        <is>
          <t>§37</t>
        </is>
      </c>
      <c r="C15" s="7" t="inlineStr">
        <is>
          <t>Product Master</t>
        </is>
      </c>
      <c r="D15" s="7" t="inlineStr">
        <is>
          <t>Same GTIN → one Product Master (no duplicates)</t>
        </is>
      </c>
      <c r="E15" s="7" t="inlineStr">
        <is>
          <t>PARTIAL</t>
        </is>
      </c>
      <c r="F15" s="7" t="inlineStr">
        <is>
          <t>Unique index on gtin; bulk import and PMD promote match / adopt by GTIN</t>
        </is>
      </c>
      <c r="G15" s="7" t="inlineStr">
        <is>
          <t>GTIN not stored in one canonical form (EAN-13 vs GTIN-14 can coexist); duplicate-candidate function never called; manual create has no GTIN check</t>
        </is>
      </c>
      <c r="H15" s="7" t="inlineStr">
        <is>
          <t>schema.ts:1427-1429; pmd/catalogue-bridge.ts</t>
        </is>
      </c>
    </row>
    <row r="16">
      <c r="A16" s="7" t="inlineStr">
        <is>
          <t>PM-13</t>
        </is>
      </c>
      <c r="B16" s="7" t="inlineStr">
        <is>
          <t>§33</t>
        </is>
      </c>
      <c r="C16" s="7" t="inlineStr">
        <is>
          <t>Admin</t>
        </is>
      </c>
      <c r="D16" s="7" t="inlineStr">
        <is>
          <t>Admin manages products, brands, categories, subcategories, GTIN, barcode, MRP, HSN, GST, manufacturer, images</t>
        </is>
      </c>
      <c r="E16" s="7" t="inlineStr">
        <is>
          <t>PARTIAL</t>
        </is>
      </c>
      <c r="F16" s="7" t="inlineStr">
        <is>
          <t>Admin MRP, product-master (PMD), image moderation, product import, shop products, product approvals, category master</t>
        </is>
      </c>
      <c r="G16" s="7" t="inlineStr">
        <is>
          <t>No admin product edit screen for GTIN / barcode / brand / HSN / GST / manufacturer / pack; no brand or subcategory admin</t>
        </is>
      </c>
      <c r="H16" s="7" t="inlineStr">
        <is>
          <t>src/app/admin/*</t>
        </is>
      </c>
    </row>
    <row r="17">
      <c r="A17" s="7" t="inlineStr">
        <is>
          <t>PM-14</t>
        </is>
      </c>
      <c r="B17" s="7" t="inlineStr">
        <is>
          <t>§33</t>
        </is>
      </c>
      <c r="C17" s="7" t="inlineStr">
        <is>
          <t>Admin</t>
        </is>
      </c>
      <c r="D17" s="7" t="inlineStr">
        <is>
          <t>Verification queues: MRP change requests, new product requests, duplicates, external data sync</t>
        </is>
      </c>
      <c r="E17" s="7" t="inlineStr">
        <is>
          <t>PARTIAL</t>
        </is>
      </c>
      <c r="F17" s="7" t="inlineStr">
        <is>
          <t>MRP correction queue; new-product approval queue; PMD match / duplicate review; image moderation</t>
        </is>
      </c>
      <c r="G17" s="7" t="inlineStr">
        <is>
          <t>No duplicate queue for the live catalogue; no screen for PMD runs / sources (scripts only)</t>
        </is>
      </c>
      <c r="H17" s="7" t="inlineStr">
        <is>
          <t>app/admin/mrp; admin/console/product-approvals</t>
        </is>
      </c>
    </row>
    <row r="18">
      <c r="A18" s="7" t="inlineStr">
        <is>
          <t>PM-15</t>
        </is>
      </c>
      <c r="B18" s="7" t="inlineStr">
        <is>
          <t>§35</t>
        </is>
      </c>
      <c r="C18" s="7" t="inlineStr">
        <is>
          <t>Product Master</t>
        </is>
      </c>
      <c r="D18" s="7" t="inlineStr">
        <is>
          <t>Product audit log</t>
        </is>
      </c>
      <c r="E18" s="7" t="inlineStr">
        <is>
          <t>DONE</t>
        </is>
      </c>
      <c r="F18" s="7" t="inlineStr">
        <is>
          <t>audit_logs records product.created / approved / mrp_changed / identity_updated, brand.*, category.*, image.*; plus MRP history and pmd.product_change_log</t>
        </is>
      </c>
      <c r="G18" s="7" t="inlineStr">
        <is>
          <t>No dedicated product_audit_log table (generic log used)</t>
        </is>
      </c>
      <c r="H18" s="7" t="inlineStr">
        <is>
          <t>services/audit.ts</t>
        </is>
      </c>
    </row>
    <row r="19">
      <c r="A19" s="7" t="inlineStr">
        <is>
          <t>PM-16</t>
        </is>
      </c>
      <c r="B19" s="7" t="inlineStr">
        <is>
          <t>§34</t>
        </is>
      </c>
      <c r="C19" s="7" t="inlineStr">
        <is>
          <t>Data ownership</t>
        </is>
      </c>
      <c r="D19" s="7" t="inlineStr">
        <is>
          <t>Master fields only editable by admin; shop fields only by the shop - enforced in backend</t>
        </is>
      </c>
      <c r="E19" s="7" t="inlineStr">
        <is>
          <t>PARTIAL</t>
        </is>
      </c>
      <c r="F19" s="7" t="inlineStr">
        <is>
          <t>Published masters protected (category, MRP, identity = staff only); price, stock, thresholds, offers on shop_products / shop_offers</t>
        </is>
      </c>
      <c r="G19" s="7" t="inlineStr">
        <is>
          <t>Shops still write master fields when they CREATE a product (manual create, bulk import, purchase bill) - rows are pending approval but the data is shop-written</t>
        </is>
      </c>
      <c r="H19" s="7" t="inlineStr">
        <is>
          <t>services/catalogue.ts:419-436; product-import.ts:916-937</t>
        </is>
      </c>
    </row>
    <row r="20">
      <c r="A20" s="7" t="inlineStr">
        <is>
          <t>PM-17</t>
        </is>
      </c>
      <c r="B20" s="7" t="inlineStr">
        <is>
          <t>§36</t>
        </is>
      </c>
      <c r="C20" s="7" t="inlineStr">
        <is>
          <t>Migration</t>
        </is>
      </c>
      <c r="D20" s="7" t="inlineStr">
        <is>
          <t>Existing shop products mapped to shop + master; price and stock kept</t>
        </is>
      </c>
      <c r="E20" s="7" t="inlineStr">
        <is>
          <t>DONE</t>
        </is>
      </c>
      <c r="F20" s="7" t="inlineStr">
        <is>
          <t>shop_products has referenced products since the first migration; price and stock stay on shop_products; recategorisation script with dry run and restore</t>
        </is>
      </c>
      <c r="G20" s="7" t="inlineStr">
        <is>
          <t>-</t>
        </is>
      </c>
      <c r="H20" s="7" t="inlineStr">
        <is>
          <t>drizzle/0000; scripts/categorise-products.ts</t>
        </is>
      </c>
    </row>
    <row r="21">
      <c r="A21" s="7" t="inlineStr">
        <is>
          <t>SI-01</t>
        </is>
      </c>
      <c r="B21" s="7" t="inlineStr">
        <is>
          <t>§13</t>
        </is>
      </c>
      <c r="C21" s="7" t="inlineStr">
        <is>
          <t>Shop Inventory</t>
        </is>
      </c>
      <c r="D21" s="7" t="inlineStr">
        <is>
          <t>Shop inventory fields: price, stock, low-stock threshold, reorder level / qty, min / max order qty, discount type / value, final price, availability, offer, delivery available</t>
        </is>
      </c>
      <c r="E21" s="7" t="inlineStr">
        <is>
          <t>PARTIAL</t>
        </is>
      </c>
      <c r="F21" s="7" t="inlineStr">
        <is>
          <t>shop_products: online / offline price, online / offline stock, low_stock_threshold, reorder_level, reorder_quantity, min / max order qty, is_available</t>
        </is>
      </c>
      <c r="G21" s="7" t="inlineStr">
        <is>
          <t>discount, final price, offer are in shop_offers and worked out at runtime (no columns); availability is a boolean, not an OUT_OF_STOCK value; no deliveryAvailable</t>
        </is>
      </c>
      <c r="H21" s="7" t="inlineStr">
        <is>
          <t>schema.ts:1519-1621, 6203-6239</t>
        </is>
      </c>
    </row>
    <row r="22">
      <c r="A22" s="7" t="inlineStr">
        <is>
          <t>SI-02</t>
        </is>
      </c>
      <c r="B22" s="7" t="inlineStr">
        <is>
          <t>§14</t>
        </is>
      </c>
      <c r="C22" s="7" t="inlineStr">
        <is>
          <t>Shop Inventory</t>
        </is>
      </c>
      <c r="D22" s="7" t="inlineStr">
        <is>
          <t>Add Product by searching the Product Master, then price, stock, threshold, reorder, discount → Add to my shop</t>
        </is>
      </c>
      <c r="E22" s="7" t="inlineStr">
        <is>
          <t>PARTIAL</t>
        </is>
      </c>
      <c r="F22" s="7" t="inlineStr">
        <is>
          <t>Shop Products → Add New Product → Add Existing Product: search, enter price, add</t>
        </is>
      </c>
      <c r="G22" s="7" t="inlineStr">
        <is>
          <t>Results show only name, category, code, unit (no brand, subcategory, pack, GTIN, MRP, image); search does not match GTIN; no stock / threshold / reorder / discount in the form - stock starts at 0</t>
        </is>
      </c>
      <c r="H22" s="7" t="inlineStr">
        <is>
          <t>components/add-product-panel.tsx; api/shops/[id]/catalogue-search</t>
        </is>
      </c>
    </row>
    <row r="23">
      <c r="A23" s="7" t="inlineStr">
        <is>
          <t>SI-03</t>
        </is>
      </c>
      <c r="B23" s="7" t="inlineStr">
        <is>
          <t>§15</t>
        </is>
      </c>
      <c r="C23" s="7" t="inlineStr">
        <is>
          <t>Barcode</t>
        </is>
      </c>
      <c r="D23" s="7" t="inlineStr">
        <is>
          <t>Scan barcode (camera / scanner) → GTIN → Product Master → select product</t>
        </is>
      </c>
      <c r="E23" s="7" t="inlineStr">
        <is>
          <t>NOT BUILT</t>
        </is>
      </c>
      <c r="F23" s="7" t="inlineStr">
        <is>
          <t>GTIN lookup function exists (findProductByGtin) but nothing calls it from a shop screen</t>
        </is>
      </c>
      <c r="G23" s="7" t="inlineStr">
        <is>
          <t>Camera barcode scanner, scanner input, shop-side GTIN lookup route; mobile app has no barcode package</t>
        </is>
      </c>
      <c r="H23" s="7" t="inlineStr">
        <is>
          <t>services/product-master.ts:58; mobile/package.json</t>
        </is>
      </c>
    </row>
    <row r="24">
      <c r="A24" s="7" t="inlineStr">
        <is>
          <t>SI-04</t>
        </is>
      </c>
      <c r="B24" s="7" t="inlineStr">
        <is>
          <t>§16</t>
        </is>
      </c>
      <c r="C24" s="7" t="inlineStr">
        <is>
          <t>Barcode</t>
        </is>
      </c>
      <c r="D24" s="7" t="inlineStr">
        <is>
          <t>Unknown barcode → external lookup → controlled "Request New Product" (no unverified duplicates)</t>
        </is>
      </c>
      <c r="E24" s="7" t="inlineStr">
        <is>
          <t>PARTIAL</t>
        </is>
      </c>
      <c r="F24" s="7" t="inlineStr">
        <is>
          <t>Shop-created products go to PENDING_APPROVAL with an admin queue; similar-name warning</t>
        </is>
      </c>
      <c r="G24" s="7" t="inlineStr">
        <is>
          <t>No on-demand external lookup; no request record - the product is sellable in that shop at once while unverified; "Create anyway" bypasses the duplicate warning</t>
        </is>
      </c>
      <c r="H24" s="7" t="inlineStr">
        <is>
          <t>components/add-product-panel.tsx:262-341; product-approval-queue</t>
        </is>
      </c>
    </row>
    <row r="25">
      <c r="A25" s="7" t="inlineStr">
        <is>
          <t>SI-05</t>
        </is>
      </c>
      <c r="B25" s="7" t="inlineStr">
        <is>
          <t>§21</t>
        </is>
      </c>
      <c r="C25" s="7" t="inlineStr">
        <is>
          <t>Shop Inventory</t>
        </is>
      </c>
      <c r="D25" s="7" t="inlineStr">
        <is>
          <t>Low stock calculated per shop inventory against the shop's threshold</t>
        </is>
      </c>
      <c r="E25" s="7" t="inlineStr">
        <is>
          <t>DONE</t>
        </is>
      </c>
      <c r="F25" s="7" t="inlineStr">
        <is>
          <t>stockStatus(): listing threshold → product default → shop default</t>
        </is>
      </c>
      <c r="G25" s="7" t="inlineStr">
        <is>
          <t>-</t>
        </is>
      </c>
      <c r="H25" s="7" t="inlineStr">
        <is>
          <t>services/inventory-alerts.ts:41-98</t>
        </is>
      </c>
    </row>
    <row r="26">
      <c r="A26" s="7" t="inlineStr">
        <is>
          <t>SI-06</t>
        </is>
      </c>
      <c r="B26" s="7" t="inlineStr">
        <is>
          <t>§22</t>
        </is>
      </c>
      <c r="C26" s="7" t="inlineStr">
        <is>
          <t>Shop Inventory</t>
        </is>
      </c>
      <c r="D26" s="7" t="inlineStr">
        <is>
          <t>Reorder settings per shop and "Reorder recommended" display</t>
        </is>
      </c>
      <c r="E26" s="7" t="inlineStr">
        <is>
          <t>DONE</t>
        </is>
      </c>
      <c r="F26" s="7" t="inlineStr">
        <is>
          <t>Thresholds editable per listing and as shop defaults; reorder badge + "order N" hint; reorder alert with suggested qty</t>
        </is>
      </c>
      <c r="G26" s="7" t="inlineStr">
        <is>
          <t>Min / max order qty: API only, not enforced in the cart</t>
        </is>
      </c>
      <c r="H26" s="7" t="inlineStr">
        <is>
          <t>api/shop-products/[id]/stock-settings; shop-inventory-manager.tsx</t>
        </is>
      </c>
    </row>
    <row r="27">
      <c r="A27" s="7" t="inlineStr">
        <is>
          <t>SI-07</t>
        </is>
      </c>
      <c r="B27" s="7" t="inlineStr">
        <is>
          <t>§23</t>
        </is>
      </c>
      <c r="C27" s="7" t="inlineStr">
        <is>
          <t>Alerts</t>
        </is>
      </c>
      <c r="D27" s="7" t="inlineStr">
        <is>
          <t>Low-stock alerts per shop: dashboard, bell, inventory page (email / SMS / WhatsApp later)</t>
        </is>
      </c>
      <c r="E27" s="7" t="inlineStr">
        <is>
          <t>DONE</t>
        </is>
      </c>
      <c r="F27" s="7" t="inlineStr">
        <is>
          <t>stock_alerts (OPEN / ACK / RESOLVED, de-duplicated); in-app notification + bell; dashboard Low-stock tile; alerts on inventory page</t>
        </is>
      </c>
      <c r="G27" s="7" t="inlineStr">
        <is>
          <t>Email off by default (no STOCK_LOW template); SMS / WhatsApp waiting on provider (D2)</t>
        </is>
      </c>
      <c r="H27" s="7" t="inlineStr">
        <is>
          <t>inventory-alerts.ts:109-195; shop-dashboard.tsx</t>
        </is>
      </c>
    </row>
    <row r="28">
      <c r="A28" s="7" t="inlineStr">
        <is>
          <t>SI-08</t>
        </is>
      </c>
      <c r="B28" s="7" t="inlineStr">
        <is>
          <t>§24</t>
        </is>
      </c>
      <c r="C28" s="7" t="inlineStr">
        <is>
          <t>Shop Inventory</t>
        </is>
      </c>
      <c r="D28" s="7" t="inlineStr">
        <is>
          <t>Stock 0 → out of stock for that shop only; other shops stay available</t>
        </is>
      </c>
      <c r="E28" s="7" t="inlineStr">
        <is>
          <t>DONE</t>
        </is>
      </c>
      <c r="F28" s="7" t="inlineStr">
        <is>
          <t>Zero stock sets that listing unavailable; product page lists every shop with buyable / not; comparison drops out-of-stock shops</t>
        </is>
      </c>
      <c r="G28" s="7" t="inlineStr">
        <is>
          <t>Boolean flag rather than an OUT_OF_STOCK value</t>
        </is>
      </c>
      <c r="H28" s="7" t="inlineStr">
        <is>
          <t>inventory-alerts.ts:186-194; app/products/[id]/page.tsx</t>
        </is>
      </c>
    </row>
    <row r="29">
      <c r="A29" s="7" t="inlineStr">
        <is>
          <t>SI-09</t>
        </is>
      </c>
      <c r="B29" s="7" t="inlineStr">
        <is>
          <t>§29</t>
        </is>
      </c>
      <c r="C29" s="7" t="inlineStr">
        <is>
          <t>Shop Inventory</t>
        </is>
      </c>
      <c r="D29" s="7" t="inlineStr">
        <is>
          <t>Inventory Dashboard: total, in stock, low, out, reorder required, inventory value</t>
        </is>
      </c>
      <c r="E29" s="7" t="inlineStr">
        <is>
          <t>DONE</t>
        </is>
      </c>
      <c r="F29" s="7" t="inlineStr">
        <is>
          <t>All six figures on /shop/inventory; cost-based value on /shop/accounts/stock</t>
        </is>
      </c>
      <c r="G29" s="7" t="inlineStr">
        <is>
          <t>Dashboard value is at selling price (cost value is on the accounts page)</t>
        </is>
      </c>
      <c r="H29" s="7" t="inlineStr">
        <is>
          <t>inventory-alerts.ts:347-393; app/shop/inventory</t>
        </is>
      </c>
    </row>
    <row r="30">
      <c r="A30" s="7" t="inlineStr">
        <is>
          <t>SI-10</t>
        </is>
      </c>
      <c r="B30" s="7" t="inlineStr">
        <is>
          <t>§30</t>
        </is>
      </c>
      <c r="C30" s="7" t="inlineStr">
        <is>
          <t>Shop Inventory</t>
        </is>
      </c>
      <c r="D30" s="7" t="inlineStr">
        <is>
          <t>Reorder List (product, current stock, reorder level, reorder qty) - own shop only</t>
        </is>
      </c>
      <c r="E30" s="7" t="inlineStr">
        <is>
          <t>PARTIAL</t>
        </is>
      </c>
      <c r="F30" s="7" t="inlineStr">
        <is>
          <t>Reorder flags and columns in the inventory table; "Need reorder" count; Reorder badge on accounts stock page</t>
        </is>
      </c>
      <c r="G30" s="7" t="inlineStr">
        <is>
          <t>No dedicated Reorder List page or reorder filter</t>
        </is>
      </c>
      <c r="H30" s="7" t="inlineStr">
        <is>
          <t>shop-inventory-manager.tsx:247-329; app/shop/accounts/stock</t>
        </is>
      </c>
    </row>
    <row r="31">
      <c r="A31" s="7" t="inlineStr">
        <is>
          <t>SI-11</t>
        </is>
      </c>
      <c r="B31" s="7" t="inlineStr">
        <is>
          <t>§31</t>
        </is>
      </c>
      <c r="C31" s="7" t="inlineStr">
        <is>
          <t>Shop Inventory</t>
        </is>
      </c>
      <c r="D31" s="7" t="inlineStr">
        <is>
          <t>Inventory table: product, MRP, selling price, stock, threshold, status</t>
        </is>
      </c>
      <c r="E31" s="7" t="inlineStr">
        <is>
          <t>PARTIAL</t>
        </is>
      </c>
      <c r="F31" s="7" t="inlineStr">
        <is>
          <t>Product, unit, available, price (editable), reserved, on hand, low at, reorder at, status</t>
        </is>
      </c>
      <c r="G31" s="7" t="inlineStr">
        <is>
          <t>MRP column</t>
        </is>
      </c>
      <c r="H31" s="7" t="inlineStr">
        <is>
          <t>shop-inventory-manager.tsx:238-251</t>
        </is>
      </c>
    </row>
    <row r="32">
      <c r="A32" s="7" t="inlineStr">
        <is>
          <t>SI-12</t>
        </is>
      </c>
      <c r="B32" s="7" t="inlineStr">
        <is>
          <t>§12, §32</t>
        </is>
      </c>
      <c r="C32" s="7" t="inlineStr">
        <is>
          <t>Shop Inventory</t>
        </is>
      </c>
      <c r="D32" s="7" t="inlineStr">
        <is>
          <t>Shop discounts / offers per product</t>
        </is>
      </c>
      <c r="E32" s="7" t="inlineStr">
        <is>
          <t>DONE</t>
        </is>
      </c>
      <c r="F32" s="7" t="inlineStr">
        <is>
          <t>/shop/offers: % or flat, per product or category, with dates; applied in cart, checkout, comparison</t>
        </is>
      </c>
      <c r="G32" s="7" t="inlineStr">
        <is>
          <t>Behind the shopOffers setting</t>
        </is>
      </c>
      <c r="H32" s="7" t="inlineStr">
        <is>
          <t>services/shop-offers.ts</t>
        </is>
      </c>
    </row>
    <row r="33">
      <c r="A33" s="7" t="inlineStr">
        <is>
          <t>CU-01</t>
        </is>
      </c>
      <c r="B33" s="7" t="inlineStr">
        <is>
          <t>§25</t>
        </is>
      </c>
      <c r="C33" s="7" t="inlineStr">
        <is>
          <t>Customer</t>
        </is>
      </c>
      <c r="D33" s="7" t="inlineStr">
        <is>
          <t>Customer search shows each shop with its price and availability (Available / Low stock / Out of stock)</t>
        </is>
      </c>
      <c r="E33" s="7" t="inlineStr">
        <is>
          <t>PARTIAL</t>
        </is>
      </c>
      <c r="F33" s="7" t="inlineStr">
        <is>
          <t>Product page lists every shop with price, cheapest highlighted, "Not available online" badge; compare page</t>
        </is>
      </c>
      <c r="G33" s="7" t="inlineStr">
        <is>
          <t>Customers never see "Low stock"; search results are listings, not a shops-per-product view</t>
        </is>
      </c>
      <c r="H33" s="7" t="inlineStr">
        <is>
          <t>app/products/[id]/page.tsx; services/price-comparison.ts</t>
        </is>
      </c>
    </row>
    <row r="34">
      <c r="A34" s="7" t="inlineStr">
        <is>
          <t>CU-02</t>
        </is>
      </c>
      <c r="B34" s="7" t="inlineStr">
        <is>
          <t>§25, §27</t>
        </is>
      </c>
      <c r="C34" s="7" t="inlineStr">
        <is>
          <t>Customer</t>
        </is>
      </c>
      <c r="D34" s="7" t="inlineStr">
        <is>
          <t>Customer buys from the individual shop</t>
        </is>
      </c>
      <c r="E34" s="7" t="inlineStr">
        <is>
          <t>DONE</t>
        </is>
      </c>
      <c r="F34" s="7" t="inlineStr">
        <is>
          <t>Order belongs to the shop; invoice "Sold by" the shop</t>
        </is>
      </c>
      <c r="G34" s="7" t="inlineStr">
        <is>
          <t>-</t>
        </is>
      </c>
      <c r="H34" s="7" t="inlineStr">
        <is>
          <t>services/invoices.ts</t>
        </is>
      </c>
    </row>
    <row r="35">
      <c r="A35" s="7" t="inlineStr">
        <is>
          <t>IM-01</t>
        </is>
      </c>
      <c r="B35" s="7" t="inlineStr">
        <is>
          <t>§18</t>
        </is>
      </c>
      <c r="C35" s="7" t="inlineStr">
        <is>
          <t>Bulk import</t>
        </is>
      </c>
      <c r="D35" s="7" t="inlineStr">
        <is>
          <t>Admin bulk import of the Product Master from Excel (GTIN, name, brand, category, subcategory, pack, MRP, HSN, GST, manufacturer, origin, image URL)</t>
        </is>
      </c>
      <c r="E35" s="7" t="inlineStr">
        <is>
          <t>PARTIAL</t>
        </is>
      </c>
      <c r="F35" s="7" t="inlineStr">
        <is>
          <t>Bulk upload (xlsx / csv, 5,000 rows) with those fields - admins use it through a shop picker; PMD JSON import API; CLI feed import</t>
        </is>
      </c>
      <c r="G35" s="7" t="inlineStr">
        <is>
          <t>No admin Excel upload straight into the master without a shop; no subcategory column; no separate net qty / unit columns</t>
        </is>
      </c>
      <c r="H35" s="7" t="inlineStr">
        <is>
          <t>product-import/fields.ts; api/product-master/products/import</t>
        </is>
      </c>
    </row>
    <row r="36">
      <c r="A36" s="7" t="inlineStr">
        <is>
          <t>IM-02</t>
        </is>
      </c>
      <c r="B36" s="7" t="inlineStr">
        <is>
          <t>§18</t>
        </is>
      </c>
      <c r="C36" s="7" t="inlineStr">
        <is>
          <t>Bulk import</t>
        </is>
      </c>
      <c r="D36" s="7" t="inlineStr">
        <is>
          <t>Validation (duplicates, missing GTIN, invalid MRP / category / brand / tax) + error report</t>
        </is>
      </c>
      <c r="E36" s="7" t="inlineStr">
        <is>
          <t>PARTIAL</t>
        </is>
      </c>
      <c r="F36" s="7" t="inlineStr">
        <is>
          <t>Duplicate SKU / file detection; bad category → General + warning; bad brand / HSN / GST → warning; price &gt; MRP refused; result report XLSX / CSV; PMD has proper error codes</t>
        </is>
      </c>
      <c r="G36" s="7" t="inlineStr">
        <is>
          <t>Rows are never rejected (warnings only, by design); missing GTIN not flagged; GST not checked against slabs</t>
        </is>
      </c>
      <c r="H36" s="7" t="inlineStr">
        <is>
          <t>product-import/normalise.ts; pmd/normalize</t>
        </is>
      </c>
    </row>
    <row r="37">
      <c r="A37" s="7" t="inlineStr">
        <is>
          <t>IM-03</t>
        </is>
      </c>
      <c r="B37" s="7" t="inlineStr">
        <is>
          <t>§19</t>
        </is>
      </c>
      <c r="C37" s="7" t="inlineStr">
        <is>
          <t>Bulk import</t>
        </is>
      </c>
      <c r="D37" s="7" t="inlineStr">
        <is>
          <t>Shop inventory import (GTIN, stock, price, threshold, reorder level / qty) for the logged-in shop only</t>
        </is>
      </c>
      <c r="E37" s="7" t="inlineStr">
        <is>
          <t>PARTIAL</t>
        </is>
      </c>
      <c r="F37" s="7" t="inlineStr">
        <is>
          <t>Matches GTIN → listing; sets stock (Set / Add) and price; server-side check - owner only own shop (403 / 404); tested</t>
        </is>
      </c>
      <c r="G37" s="7" t="inlineStr">
        <is>
          <t>Threshold, reorder level and reorder qty cannot be imported; shop staff not covered (owner only)</t>
        </is>
      </c>
      <c r="H37" s="7" t="inlineStr">
        <is>
          <t>services/product-import.ts:102-126; tests/integration/product-import.test.ts</t>
        </is>
      </c>
    </row>
    <row r="38">
      <c r="A38" s="7" t="inlineStr">
        <is>
          <t>IT-01</t>
        </is>
      </c>
      <c r="B38" s="7" t="inlineStr">
        <is>
          <t>§26</t>
        </is>
      </c>
      <c r="C38" s="7" t="inlineStr">
        <is>
          <t>Inventory history</t>
        </is>
      </c>
      <c r="D38" s="7" t="inlineStr">
        <is>
          <t>Inventory transactions per shop (type, qty change, previous, new, order / reference, reason, by, at)</t>
        </is>
      </c>
      <c r="E38" s="7" t="inlineStr">
        <is>
          <t>PARTIAL</t>
        </is>
      </c>
      <c r="F38" s="7" t="inlineStr">
        <is>
          <t>Two ledgers: inventory_movements (previous / new, reason, order, user) and inv_stock_ledger (typed movement, cost) kept in step by DB triggers; drift check</t>
        </is>
      </c>
      <c r="G38" s="7" t="inlineStr">
        <is>
          <t>Neither has every field (movements: no shopId / typed type; ledger: no previous / new); link between them is heuristic; previous qty can be stale under concurrent orders</t>
        </is>
      </c>
      <c r="H38" s="7" t="inlineStr">
        <is>
          <t>schema.ts:1683-1709, 6993-7029; drizzle/0076, 0078</t>
        </is>
      </c>
    </row>
    <row r="39">
      <c r="A39" s="7" t="inlineStr">
        <is>
          <t>IT-02</t>
        </is>
      </c>
      <c r="B39" s="7" t="inlineStr">
        <is>
          <t>§26</t>
        </is>
      </c>
      <c r="C39" s="7" t="inlineStr">
        <is>
          <t>Inventory history</t>
        </is>
      </c>
      <c r="D39" s="7" t="inlineStr">
        <is>
          <t>Types: opening, customer order, manual adjustment, stock received, return</t>
        </is>
      </c>
      <c r="E39" s="7" t="inlineStr">
        <is>
          <t>PARTIAL</t>
        </is>
      </c>
      <c r="F39" s="7" t="inlineStr">
        <is>
          <t>OPENING, SALE, ADJUSTMENT, PURCHASE (bill), SALE_RETURN (cancellation), WRITE_OFF, REVERSAL</t>
        </is>
      </c>
      <c r="G39" s="7" t="inlineStr">
        <is>
          <t>Manual "stock received" logged as ADJUSTMENT; customer returns not recorded; PURCHASE_RETURN unused</t>
        </is>
      </c>
      <c r="H39" s="7" t="inlineStr">
        <is>
          <t>lib/accounts/constants.ts</t>
        </is>
      </c>
    </row>
    <row r="40">
      <c r="A40" s="7" t="inlineStr">
        <is>
          <t>OR-01</t>
        </is>
      </c>
      <c r="B40" s="7" t="inlineStr">
        <is>
          <t>§27</t>
        </is>
      </c>
      <c r="C40" s="7" t="inlineStr">
        <is>
          <t>Orders</t>
        </is>
      </c>
      <c r="D40" s="7" t="inlineStr">
        <is>
          <t>Customer order deducts only that shop's stock</t>
        </is>
      </c>
      <c r="E40" s="7" t="inlineStr">
        <is>
          <t>DONE</t>
        </is>
      </c>
      <c r="F40" s="7" t="inlineStr">
        <is>
          <t>Stock taken at checkout per order line (shop listing); also substitutes and subscriptions</t>
        </is>
      </c>
      <c r="G40" s="7" t="inlineStr">
        <is>
          <t>-</t>
        </is>
      </c>
      <c r="H40" s="7" t="inlineStr">
        <is>
          <t>services/orders.ts:565-572</t>
        </is>
      </c>
    </row>
    <row r="41">
      <c r="A41" s="7" t="inlineStr">
        <is>
          <t>OR-02</t>
        </is>
      </c>
      <c r="B41" s="7" t="inlineStr">
        <is>
          <t>§28</t>
        </is>
      </c>
      <c r="C41" s="7" t="inlineStr">
        <is>
          <t>Orders</t>
        </is>
      </c>
      <c r="D41" s="7" t="inlineStr">
        <is>
          <t>Prevent overselling; stock never negative (locking)</t>
        </is>
      </c>
      <c r="E41" s="7" t="inlineStr">
        <is>
          <t>DONE</t>
        </is>
      </c>
      <c r="F41" s="7" t="inlineStr">
        <is>
          <t>Conditional UPDATE (stock &gt;= qty) inside the checkout transaction; CHECK constraint stock &gt;= 0; row locks on restock / import</t>
        </is>
      </c>
      <c r="G41" s="7" t="inlineStr">
        <is>
          <t>No automated test of two orders racing for the last unit</t>
        </is>
      </c>
      <c r="H41" s="7" t="inlineStr">
        <is>
          <t>catalogue.ts:1291-1325; schema.ts:1606-1608</t>
        </is>
      </c>
    </row>
    <row r="42">
      <c r="A42" s="7" t="inlineStr">
        <is>
          <t>OR-03</t>
        </is>
      </c>
      <c r="B42" s="7" t="inlineStr">
        <is>
          <t>§26</t>
        </is>
      </c>
      <c r="C42" s="7" t="inlineStr">
        <is>
          <t>Orders</t>
        </is>
      </c>
      <c r="D42" s="7" t="inlineStr">
        <is>
          <t>Returns / cancellations put stock back</t>
        </is>
      </c>
      <c r="E42" s="7" t="inlineStr">
        <is>
          <t>PARTIAL</t>
        </is>
      </c>
      <c r="F42" s="7" t="inlineStr">
        <is>
          <t>Cancellations (customer, shop decline, timeout) restock with a row lock</t>
        </is>
      </c>
      <c r="G42" s="7" t="inlineStr">
        <is>
          <t>Customer returns AFTER delivery do not restock shop_products or the ledger</t>
        </is>
      </c>
      <c r="H42" s="7" t="inlineStr">
        <is>
          <t>orders.ts:1015-1068; returns.ts:688-698</t>
        </is>
      </c>
    </row>
    <row r="43">
      <c r="A43" s="7" t="inlineStr">
        <is>
          <t>OR-04</t>
        </is>
      </c>
      <c r="B43" s="7" t="inlineStr">
        <is>
          <t>§42 Ph 6</t>
        </is>
      </c>
      <c r="C43" s="7" t="inlineStr">
        <is>
          <t>Orders</t>
        </is>
      </c>
      <c r="D43" s="7" t="inlineStr">
        <is>
          <t>Stock reservation (hold at cart / checkout / pending payment)</t>
        </is>
      </c>
      <c r="E43" s="7" t="inlineStr">
        <is>
          <t>PARTIAL</t>
        </is>
      </c>
      <c r="F43" s="7" t="inlineStr">
        <is>
          <t>Atomic take at order placement, released on cancel; "reserved" shown from open orders</t>
        </is>
      </c>
      <c r="G43" s="7" t="inlineStr">
        <is>
          <t>No reservation / hold table or time-limited hold</t>
        </is>
      </c>
      <c r="H43" s="7" t="inlineStr">
        <is>
          <t>catalogue.ts:1297-1395</t>
        </is>
      </c>
    </row>
    <row r="44">
      <c r="A44" s="7" t="inlineStr">
        <is>
          <t>EX-01</t>
        </is>
      </c>
      <c r="B44" s="7" t="inlineStr">
        <is>
          <t>§17</t>
        </is>
      </c>
      <c r="C44" s="7" t="inlineStr">
        <is>
          <t>External data</t>
        </is>
      </c>
      <c r="D44" s="7" t="inlineStr">
        <is>
          <t>Provider abstraction ProductDataProvider.lookupProductByGTIN(gtin); not hard-coded; credentials server-side</t>
        </is>
      </c>
      <c r="E44" s="7" t="inlineStr">
        <is>
          <t>PARTIAL</t>
        </is>
      </c>
      <c r="F44" s="7" t="inlineStr">
        <is>
          <t>Batch SourceAdapter + adapter registry; engine source-agnostic; credentials named by env var</t>
        </is>
      </c>
      <c r="G44" s="7" t="inlineStr">
        <is>
          <t>No per-GTIN on-demand lookup interface; credential env vars not read by any code</t>
        </is>
      </c>
      <c r="H44" s="7" t="inlineStr">
        <is>
          <t>pmd/sources/adapter.ts, registry.ts</t>
        </is>
      </c>
    </row>
    <row r="45">
      <c r="A45" s="7" t="inlineStr">
        <is>
          <t>EX-02</t>
        </is>
      </c>
      <c r="B45" s="7" t="inlineStr">
        <is>
          <t>§16, §38</t>
        </is>
      </c>
      <c r="C45" s="7" t="inlineStr">
        <is>
          <t>External data</t>
        </is>
      </c>
      <c r="D45" s="7" t="inlineStr">
        <is>
          <t>GS1 India DataKart / Verified by GS1 integration, sync, MRP verification</t>
        </is>
      </c>
      <c r="E45" s="7" t="inlineStr">
        <is>
          <t>PARTIAL</t>
        </is>
      </c>
      <c r="F45" s="7" t="inlineStr">
        <is>
          <t>gs1_india source defined (BLOCKED_NEEDS_AGREEMENT) with mapping template; CSV feed adapter; PMD external-data tables; MRP from GS1 / brand marked PENDING_VERIFICATION on promote</t>
        </is>
      </c>
      <c r="G45" s="7" t="inlineStr">
        <is>
          <t>No live DataKart / GS1 API client; no background sync (CLI only, pmd.job unused); waits on GS1 agreement</t>
        </is>
      </c>
      <c r="H45" s="7" t="inlineStr">
        <is>
          <t>pmd/sources/registry.ts; catalogue-bridge.ts</t>
        </is>
      </c>
    </row>
    <row r="46">
      <c r="A46" s="7" t="inlineStr">
        <is>
          <t>EX-03</t>
        </is>
      </c>
      <c r="B46" s="7" t="inlineStr">
        <is>
          <t>§38</t>
        </is>
      </c>
      <c r="C46" s="7" t="inlineStr">
        <is>
          <t>External data</t>
        </is>
      </c>
      <c r="D46" s="7" t="inlineStr">
        <is>
          <t>External data → Product Master → shops (never GoKesari as seller)</t>
        </is>
      </c>
      <c r="E46" s="7" t="inlineStr">
        <is>
          <t>DONE</t>
        </is>
      </c>
      <c r="F46" s="7" t="inlineStr">
        <is>
          <t>PMD → admin promote (audited) → products → shop_products; same-GTIN product adopted</t>
        </is>
      </c>
      <c r="G46" s="7" t="inlineStr">
        <is>
          <t>Promotion is manual, one product at a time</t>
        </is>
      </c>
      <c r="H46" s="7" t="inlineStr">
        <is>
          <t>pmd/catalogue-bridge.ts</t>
        </is>
      </c>
    </row>
    <row r="47">
      <c r="A47" s="7" t="inlineStr">
        <is>
          <t>SU-01</t>
        </is>
      </c>
      <c r="B47" s="7" t="inlineStr">
        <is>
          <t>§39</t>
        </is>
      </c>
      <c r="C47" s="7" t="inlineStr">
        <is>
          <t>Supplier / restock (future)</t>
        </is>
      </c>
      <c r="D47" s="7" t="inlineStr">
        <is>
          <t>Reorder → supplier → purchase order → goods received → stock up</t>
        </is>
      </c>
      <c r="E47" s="7" t="inlineStr">
        <is>
          <t>PARTIAL</t>
        </is>
      </c>
      <c r="F47" s="7" t="inlineStr">
        <is>
          <t>Supplier master (acc_parties); purchase bills add stock at cost with batches; bill photo / QR capture; supplier item maps</t>
        </is>
      </c>
      <c r="G47" s="7" t="inlineStr">
        <is>
          <t>No purchase order; no separate goods-received note; reorder list does not create a PO</t>
        </is>
      </c>
      <c r="H47" s="7" t="inlineStr">
        <is>
          <t>schema.ts:7077, 7171; accounts/purchases.ts</t>
        </is>
      </c>
    </row>
    <row r="48">
      <c r="A48" s="7" t="inlineStr">
        <is>
          <t>PE-01</t>
        </is>
      </c>
      <c r="B48" s="7" t="inlineStr">
        <is>
          <t>§32</t>
        </is>
      </c>
      <c r="C48" s="7" t="inlineStr">
        <is>
          <t>Permissions</t>
        </is>
      </c>
      <c r="D48" s="7" t="inlineStr">
        <is>
          <t>Shop owner can: search master, add, scan, set price / stock / threshold / reorder, offers, adjust / view own inventory, alerts, reorder list</t>
        </is>
      </c>
      <c r="E48" s="7" t="inlineStr">
        <is>
          <t>PARTIAL</t>
        </is>
      </c>
      <c r="F48" s="7" t="inlineStr">
        <is>
          <t>All except barcode scan and a dedicated reorder list</t>
        </is>
      </c>
      <c r="G48" s="7" t="inlineStr">
        <is>
          <t>Barcode scan; reorder list</t>
        </is>
      </c>
      <c r="H48" s="7" t="inlineStr">
        <is>
          <t>api/shops/[id]/*; api/shop-products/[id]/*</t>
        </is>
      </c>
    </row>
    <row r="49">
      <c r="A49" s="7" t="inlineStr">
        <is>
          <t>PE-02</t>
        </is>
      </c>
      <c r="B49" s="7" t="inlineStr">
        <is>
          <t>§32</t>
        </is>
      </c>
      <c r="C49" s="7" t="inlineStr">
        <is>
          <t>Permissions</t>
        </is>
      </c>
      <c r="D49" s="7" t="inlineStr">
        <is>
          <t>Shop owner cannot: change other shops' stock / prices, verified MRP, delete master records</t>
        </is>
      </c>
      <c r="E49" s="7" t="inlineStr">
        <is>
          <t>DONE</t>
        </is>
      </c>
      <c r="F49" s="7" t="inlineStr">
        <is>
          <t>requireShopAccess on every shop route; listing IDs re-checked; MRP write = admin / operator only; no master delete route</t>
        </is>
      </c>
      <c r="G49" s="7" t="inlineStr">
        <is>
          <t>No route-level test that a shop owner gets 403 on /api/mrp</t>
        </is>
      </c>
      <c r="H49" s="7" t="inlineStr">
        <is>
          <t>authz/guards.ts:87-106; permissions.ts</t>
        </is>
      </c>
    </row>
    <row r="50">
      <c r="A50" s="7" t="inlineStr">
        <is>
          <t>SE-01</t>
        </is>
      </c>
      <c r="B50" s="7" t="inlineStr">
        <is>
          <t>§40</t>
        </is>
      </c>
      <c r="C50" s="7" t="inlineStr">
        <is>
          <t>Security</t>
        </is>
      </c>
      <c r="D50" s="7" t="inlineStr">
        <is>
          <t>Server-side check on every shop inventory API: user → shop → inventory belongs to shop</t>
        </is>
      </c>
      <c r="E50" s="7" t="inlineStr">
        <is>
          <t>DONE</t>
        </is>
      </c>
      <c r="F50" s="7" t="inlineStr">
        <is>
          <t>All inventory, listing, price, stock, import, media, offers routes guarded (route or service level); no unguarded route found</t>
        </is>
      </c>
      <c r="G50" s="7" t="inlineStr">
        <is>
          <t>-</t>
        </is>
      </c>
      <c r="H50" s="7" t="inlineStr">
        <is>
          <t>authz/guards.ts; api/shops/[id]/*</t>
        </is>
      </c>
    </row>
    <row r="51">
      <c r="A51" s="7" t="inlineStr">
        <is>
          <t>AD-01</t>
        </is>
      </c>
      <c r="B51" s="7" t="inlineStr">
        <is>
          <t>§33</t>
        </is>
      </c>
      <c r="C51" s="7" t="inlineStr">
        <is>
          <t>Admin</t>
        </is>
      </c>
      <c r="D51" s="7" t="inlineStr">
        <is>
          <t>Admin manages shops, listings, shop inventory, status, availability</t>
        </is>
      </c>
      <c r="E51" s="7" t="inlineStr">
        <is>
          <t>PARTIAL</t>
        </is>
      </c>
      <c r="F51" s="7" t="inlineStr">
        <is>
          <t>Approve / reject / suspend shops; admin listing editor; stock / availability edits; product stock defaults</t>
        </is>
      </c>
      <c r="G51" s="7" t="inlineStr">
        <is>
          <t>No admin per-shop inventory dashboard or alerts view</t>
        </is>
      </c>
      <c r="H51" s="7" t="inlineStr">
        <is>
          <t>app/admin/shops</t>
        </is>
      </c>
    </row>
    <row r="52">
      <c r="A52" s="7" t="inlineStr">
        <is>
          <t>SC-01</t>
        </is>
      </c>
      <c r="B52" s="7" t="inlineStr">
        <is>
          <t>§41</t>
        </is>
      </c>
      <c r="C52" s="7" t="inlineStr">
        <is>
          <t>Scalability</t>
        </is>
      </c>
      <c r="D52" s="7" t="inlineStr">
        <is>
          <t>Indexes, pagination, batch imports, background sync, fast GTIN lookup, transactions</t>
        </is>
      </c>
      <c r="E52" s="7" t="inlineStr">
        <is>
          <t>PARTIAL</t>
        </is>
      </c>
      <c r="F52" s="7" t="inlineStr">
        <is>
          <t>GTIN indexes; cursor / offset pagination on catalogue and PMD; batched imports with resume; partitioned price history</t>
        </is>
      </c>
      <c r="G52" s="7" t="inlineStr">
        <is>
          <t>Shop product list and stock summary not paginated; background work not a durable queue; no GS1 sync job</t>
        </is>
      </c>
      <c r="H52" s="7" t="inlineStr">
        <is>
          <t>catalogue.ts; accounts/stock.ts:251-265</t>
        </is>
      </c>
    </row>
    <row r="53">
      <c r="A53" s="7" t="inlineStr">
        <is>
          <t>AI-01</t>
        </is>
      </c>
      <c r="B53" s="7" t="inlineStr">
        <is>
          <t>§42 Ph 7</t>
        </is>
      </c>
      <c r="C53" s="7" t="inlineStr">
        <is>
          <t>AI</t>
        </is>
      </c>
      <c r="D53" s="7" t="inlineStr">
        <is>
          <t>Product image recognition, OCR, matching, AI categorisation, AI duplicate detection</t>
        </is>
      </c>
      <c r="E53" s="7" t="inlineStr">
        <is>
          <t>PARTIAL</t>
        </is>
      </c>
      <c r="F53" s="7" t="inlineStr">
        <is>
          <t>Keyword categoriser (rule-based); deterministic PMD matcher (GTIN / MPN / trigram); AI + OCR reading of SUPPLIER BILLS and KYC documents</t>
        </is>
      </c>
      <c r="G53" s="7" t="inlineStr">
        <is>
          <t>No product-image recognition, product-label OCR, AI categorisation or AI duplicate detection</t>
        </is>
      </c>
      <c r="H53" s="7" t="inlineStr">
        <is>
          <t>services/product-categorisation.ts; pmd/match/engine.ts; accounts/capture</t>
        </is>
      </c>
    </row>
  </sheetData>
  <autoFilter ref="A1:H53"/>
  <conditionalFormatting sqref="E2:E53">
    <cfRule type="cellIs" priority="1" operator="equal" dxfId="0">
      <formula>"DONE"</formula>
    </cfRule>
    <cfRule type="cellIs" priority="2" operator="equal" dxfId="0">
      <formula>"COVERED"</formula>
    </cfRule>
    <cfRule type="cellIs" priority="3" operator="equal" dxfId="1">
      <formula>"PARTIAL"</formula>
    </cfRule>
    <cfRule type="cellIs" priority="4" operator="equal" dxfId="1">
      <formula>"PARTLY"</formula>
    </cfRule>
    <cfRule type="cellIs" priority="5" operator="equal" dxfId="2">
      <formula>"NOT BUILT"</formula>
    </cfRule>
    <cfRule type="cellIs" priority="6" operator="equal" dxfId="2">
      <formula>"NOT COVERED"</formula>
    </cfRule>
    <cfRule type="cellIs" priority="7" operator="equal" dxfId="2">
      <formula>"High"</formula>
    </cfRule>
    <cfRule type="cellIs" priority="8" operator="equal" dxfId="1">
      <formula>"Medium"</formula>
    </cfRule>
    <cfRule type="cellIs" priority="9" operator="equal" dxfId="3">
      <formula>"Low"</formula>
    </cfRule>
  </conditionalFormatting>
  <dataValidations count="1">
    <dataValidation sqref="E2:E53" showDropDown="0" showInputMessage="0" showErrorMessage="0" allowBlank="1" type="list">
      <formula1>"DONE,PARTIAL,NOT BUILT"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2" customWidth="1" min="3" max="3"/>
    <col width="14" customWidth="1" min="4" max="4"/>
    <col width="60" customWidth="1" min="5" max="5"/>
  </cols>
  <sheetData>
    <row r="1">
      <c r="A1" s="6" t="inlineStr">
        <is>
          <t>Flow / step</t>
        </is>
      </c>
      <c r="B1" s="6" t="inlineStr">
        <is>
          <t>Level</t>
        </is>
      </c>
      <c r="C1" s="6" t="inlineStr">
        <is>
          <t>Workflow tree</t>
        </is>
      </c>
      <c r="D1" s="6" t="inlineStr">
        <is>
          <t>Status</t>
        </is>
      </c>
      <c r="E1" s="6" t="inlineStr">
        <is>
          <t>Note</t>
        </is>
      </c>
    </row>
    <row r="2">
      <c r="A2" s="8" t="inlineStr">
        <is>
          <t>WF-A</t>
        </is>
      </c>
      <c r="B2" s="8" t="n">
        <v>1</v>
      </c>
      <c r="C2" s="8" t="inlineStr">
        <is>
          <t>Shop owner adds a product by searching the Product Master</t>
        </is>
      </c>
      <c r="D2" s="8">
        <f>IF(COUNTIF($D$3:$D$8,"DONE")=ROWS($D$3:$D$8),"DONE",IF(COUNTIF($D$3:$D$8,"NOT BUILT")=ROWS($D$3:$D$8),"NOT BUILT","PARTIAL"))</f>
        <v/>
      </c>
      <c r="E2" s="8">
        <f>COUNTIF($D$3:$D$8,"DONE")&amp;" of "&amp;ROWS($D$3:$D$8)&amp;" steps done"</f>
        <v/>
      </c>
    </row>
    <row r="3">
      <c r="A3" s="7" t="inlineStr">
        <is>
          <t>WF-A.1</t>
        </is>
      </c>
      <c r="B3" s="7" t="n">
        <v>2</v>
      </c>
      <c r="C3" s="7" t="inlineStr">
        <is>
          <t xml:space="preserve">    Open My Shop → Inventory → Add Product</t>
        </is>
      </c>
      <c r="D3" s="7" t="inlineStr">
        <is>
          <t>DONE</t>
        </is>
      </c>
      <c r="E3" s="7" t="inlineStr">
        <is>
          <t>/shop/manage/products → Add New Product → Add Existing Product</t>
        </is>
      </c>
    </row>
    <row r="4">
      <c r="A4" s="7" t="inlineStr">
        <is>
          <t>WF-A.2</t>
        </is>
      </c>
      <c r="B4" s="7" t="n">
        <v>2</v>
      </c>
      <c r="C4" s="7" t="inlineStr">
        <is>
          <t xml:space="preserve">    Search the Product Master</t>
        </is>
      </c>
      <c r="D4" s="7" t="inlineStr">
        <is>
          <t>PARTIAL</t>
        </is>
      </c>
      <c r="E4" s="7" t="inlineStr">
        <is>
          <t>Approved products in the shop's categories; name / code / brand only - not GTIN</t>
        </is>
      </c>
    </row>
    <row r="5">
      <c r="A5" s="7" t="inlineStr">
        <is>
          <t>WF-A.3</t>
        </is>
      </c>
      <c r="B5" s="7" t="n">
        <v>2</v>
      </c>
      <c r="C5" s="7" t="inlineStr">
        <is>
          <t xml:space="preserve">    Show name, brand, category, subcategory, pack, GTIN, MRP, image</t>
        </is>
      </c>
      <c r="D5" s="7" t="inlineStr">
        <is>
          <t>PARTIAL</t>
        </is>
      </c>
      <c r="E5" s="7" t="inlineStr">
        <is>
          <t>Shows name, category, code, unit only</t>
        </is>
      </c>
    </row>
    <row r="6">
      <c r="A6" s="7" t="inlineStr">
        <is>
          <t>WF-A.4</t>
        </is>
      </c>
      <c r="B6" s="7" t="n">
        <v>2</v>
      </c>
      <c r="C6" s="7" t="inlineStr">
        <is>
          <t xml:space="preserve">    Enter selling price</t>
        </is>
      </c>
      <c r="D6" s="7" t="inlineStr">
        <is>
          <t>DONE</t>
        </is>
      </c>
      <c r="E6" s="7" t="inlineStr">
        <is>
          <t>One price used for online and in-shop</t>
        </is>
      </c>
    </row>
    <row r="7">
      <c r="A7" s="7" t="inlineStr">
        <is>
          <t>WF-A.5</t>
        </is>
      </c>
      <c r="B7" s="7" t="n">
        <v>2</v>
      </c>
      <c r="C7" s="7" t="inlineStr">
        <is>
          <t xml:space="preserve">    Enter stock, threshold, reorder level / qty, discount</t>
        </is>
      </c>
      <c r="D7" s="7" t="inlineStr">
        <is>
          <t>NOT BUILT</t>
        </is>
      </c>
      <c r="E7" s="7" t="inlineStr">
        <is>
          <t>Set later on other screens; stock starts at 0</t>
        </is>
      </c>
    </row>
    <row r="8">
      <c r="A8" s="7" t="inlineStr">
        <is>
          <t>WF-A.6</t>
        </is>
      </c>
      <c r="B8" s="7" t="n">
        <v>2</v>
      </c>
      <c r="C8" s="7" t="inlineStr">
        <is>
          <t xml:space="preserve">    Add to My Shop (server checks MRP, category, duplicate)</t>
        </is>
      </c>
      <c r="D8" s="7" t="inlineStr">
        <is>
          <t>DONE</t>
        </is>
      </c>
      <c r="E8" s="7" t="inlineStr">
        <is>
          <t>POST /api/shops/[id]/products</t>
        </is>
      </c>
    </row>
    <row r="9">
      <c r="A9" s="8" t="inlineStr">
        <is>
          <t>WF-B</t>
        </is>
      </c>
      <c r="B9" s="8" t="n">
        <v>1</v>
      </c>
      <c r="C9" s="8" t="inlineStr">
        <is>
          <t>Shop owner adds a product by barcode scan</t>
        </is>
      </c>
      <c r="D9" s="8">
        <f>IF(COUNTIF($D$10:$D$14,"DONE")=ROWS($D$10:$D$14),"DONE",IF(COUNTIF($D$10:$D$14,"NOT BUILT")=ROWS($D$10:$D$14),"NOT BUILT","PARTIAL"))</f>
        <v/>
      </c>
      <c r="E9" s="8">
        <f>COUNTIF($D$10:$D$14,"DONE")&amp;" of "&amp;ROWS($D$10:$D$14)&amp;" steps done"</f>
        <v/>
      </c>
    </row>
    <row r="10">
      <c r="A10" s="7" t="inlineStr">
        <is>
          <t>WF-B.1</t>
        </is>
      </c>
      <c r="B10" s="7" t="n">
        <v>2</v>
      </c>
      <c r="C10" s="7" t="inlineStr">
        <is>
          <t xml:space="preserve">    Scan barcode with camera / scanner</t>
        </is>
      </c>
      <c r="D10" s="7" t="inlineStr">
        <is>
          <t>NOT BUILT</t>
        </is>
      </c>
      <c r="E10" s="7" t="inlineStr">
        <is>
          <t>No scanner in web or app</t>
        </is>
      </c>
    </row>
    <row r="11">
      <c r="A11" s="7" t="inlineStr">
        <is>
          <t>WF-B.2</t>
        </is>
      </c>
      <c r="B11" s="7" t="n">
        <v>2</v>
      </c>
      <c r="C11" s="7" t="inlineStr">
        <is>
          <t xml:space="preserve">    Look up GTIN in the Product Master</t>
        </is>
      </c>
      <c r="D11" s="7" t="inlineStr">
        <is>
          <t>NOT BUILT</t>
        </is>
      </c>
      <c r="E11" s="7" t="inlineStr">
        <is>
          <t>GTIN lookup is staff-only (PMD_VIEW)</t>
        </is>
      </c>
    </row>
    <row r="12">
      <c r="A12" s="7" t="inlineStr">
        <is>
          <t>WF-B.3</t>
        </is>
      </c>
      <c r="B12" s="7" t="n">
        <v>2</v>
      </c>
      <c r="C12" s="7" t="inlineStr">
        <is>
          <t xml:space="preserve">    Found → select → add to own shop inventory</t>
        </is>
      </c>
      <c r="D12" s="7" t="inlineStr">
        <is>
          <t>NOT BUILT</t>
        </is>
      </c>
      <c r="E12" s="7" t="inlineStr"/>
    </row>
    <row r="13">
      <c r="A13" s="7" t="inlineStr">
        <is>
          <t>WF-B.4</t>
        </is>
      </c>
      <c r="B13" s="7" t="n">
        <v>2</v>
      </c>
      <c r="C13" s="7" t="inlineStr">
        <is>
          <t xml:space="preserve">    Not found → external provider lookup (GS1 DataKart)</t>
        </is>
      </c>
      <c r="D13" s="7" t="inlineStr">
        <is>
          <t>NOT BUILT</t>
        </is>
      </c>
      <c r="E13" s="7" t="inlineStr">
        <is>
          <t>No live provider; GS1 agreement pending</t>
        </is>
      </c>
    </row>
    <row r="14">
      <c r="A14" s="7" t="inlineStr">
        <is>
          <t>WF-B.5</t>
        </is>
      </c>
      <c r="B14" s="7" t="n">
        <v>2</v>
      </c>
      <c r="C14" s="7" t="inlineStr">
        <is>
          <t xml:space="preserve">    Still not found → controlled Request New Product</t>
        </is>
      </c>
      <c r="D14" s="7" t="inlineStr">
        <is>
          <t>PARTIAL</t>
        </is>
      </c>
      <c r="E14" s="7" t="inlineStr">
        <is>
          <t>Creates a pending product that the shop can sell at once; duplicate warning can be skipped</t>
        </is>
      </c>
    </row>
    <row r="15">
      <c r="A15" s="8" t="inlineStr">
        <is>
          <t>WF-C</t>
        </is>
      </c>
      <c r="B15" s="8" t="n">
        <v>1</v>
      </c>
      <c r="C15" s="8" t="inlineStr">
        <is>
          <t>Low stock → alert → reorder</t>
        </is>
      </c>
      <c r="D15" s="8">
        <f>IF(COUNTIF($D$16:$D$22,"DONE")=ROWS($D$16:$D$22),"DONE",IF(COUNTIF($D$16:$D$22,"NOT BUILT")=ROWS($D$16:$D$22),"NOT BUILT","PARTIAL"))</f>
        <v/>
      </c>
      <c r="E15" s="8">
        <f>COUNTIF($D$16:$D$22,"DONE")&amp;" of "&amp;ROWS($D$16:$D$22)&amp;" steps done"</f>
        <v/>
      </c>
    </row>
    <row r="16">
      <c r="A16" s="7" t="inlineStr">
        <is>
          <t>WF-C.1</t>
        </is>
      </c>
      <c r="B16" s="7" t="n">
        <v>2</v>
      </c>
      <c r="C16" s="7" t="inlineStr">
        <is>
          <t xml:space="preserve">    Every stock change re-checks alerts in the same transaction</t>
        </is>
      </c>
      <c r="D16" s="7" t="inlineStr">
        <is>
          <t>DONE</t>
        </is>
      </c>
      <c r="E16" s="7" t="inlineStr">
        <is>
          <t>Orders, restock, bills, imports, edits</t>
        </is>
      </c>
    </row>
    <row r="17">
      <c r="A17" s="7" t="inlineStr">
        <is>
          <t>WF-C.2</t>
        </is>
      </c>
      <c r="B17" s="7" t="n">
        <v>2</v>
      </c>
      <c r="C17" s="7" t="inlineStr">
        <is>
          <t xml:space="preserve">    Compare with the shop's own threshold</t>
        </is>
      </c>
      <c r="D17" s="7" t="inlineStr">
        <is>
          <t>DONE</t>
        </is>
      </c>
      <c r="E17" s="7" t="inlineStr">
        <is>
          <t>Listing → product default → shop default</t>
        </is>
      </c>
    </row>
    <row r="18">
      <c r="A18" s="7" t="inlineStr">
        <is>
          <t>WF-C.3</t>
        </is>
      </c>
      <c r="B18" s="7" t="n">
        <v>2</v>
      </c>
      <c r="C18" s="7" t="inlineStr">
        <is>
          <t xml:space="preserve">    Open / resolve the shop's stock alert (no duplicates)</t>
        </is>
      </c>
      <c r="D18" s="7" t="inlineStr">
        <is>
          <t>DONE</t>
        </is>
      </c>
      <c r="E18" s="7" t="inlineStr">
        <is>
          <t>stock_alerts</t>
        </is>
      </c>
    </row>
    <row r="19">
      <c r="A19" s="7" t="inlineStr">
        <is>
          <t>WF-C.4</t>
        </is>
      </c>
      <c r="B19" s="7" t="n">
        <v>2</v>
      </c>
      <c r="C19" s="7" t="inlineStr">
        <is>
          <t xml:space="preserve">    Notify: dashboard, bell, inventory page</t>
        </is>
      </c>
      <c r="D19" s="7" t="inlineStr">
        <is>
          <t>DONE</t>
        </is>
      </c>
      <c r="E19" s="7" t="inlineStr">
        <is>
          <t>In-app</t>
        </is>
      </c>
    </row>
    <row r="20">
      <c r="A20" s="7" t="inlineStr">
        <is>
          <t>WF-C.5</t>
        </is>
      </c>
      <c r="B20" s="7" t="n">
        <v>2</v>
      </c>
      <c r="C20" s="7" t="inlineStr">
        <is>
          <t xml:space="preserve">    Notify: email / SMS / WhatsApp</t>
        </is>
      </c>
      <c r="D20" s="7" t="inlineStr">
        <is>
          <t>PARTIAL</t>
        </is>
      </c>
      <c r="E20" s="7" t="inlineStr">
        <is>
          <t>Email opt-in only; SMS / WhatsApp wait on D2 vendor</t>
        </is>
      </c>
    </row>
    <row r="21">
      <c r="A21" s="7" t="inlineStr">
        <is>
          <t>WF-C.6</t>
        </is>
      </c>
      <c r="B21" s="7" t="n">
        <v>2</v>
      </c>
      <c r="C21" s="7" t="inlineStr">
        <is>
          <t xml:space="preserve">    Reorder recommended flag + suggested quantity</t>
        </is>
      </c>
      <c r="D21" s="7" t="inlineStr">
        <is>
          <t>DONE</t>
        </is>
      </c>
      <c r="E21" s="7" t="inlineStr"/>
    </row>
    <row r="22">
      <c r="A22" s="7" t="inlineStr">
        <is>
          <t>WF-C.7</t>
        </is>
      </c>
      <c r="B22" s="7" t="n">
        <v>2</v>
      </c>
      <c r="C22" s="7" t="inlineStr">
        <is>
          <t xml:space="preserve">    Shop Reorder List</t>
        </is>
      </c>
      <c r="D22" s="7" t="inlineStr">
        <is>
          <t>PARTIAL</t>
        </is>
      </c>
      <c r="E22" s="7" t="inlineStr">
        <is>
          <t>Data in the inventory table; no reorder-only page / filter</t>
        </is>
      </c>
    </row>
    <row r="23">
      <c r="A23" s="8" t="inlineStr">
        <is>
          <t>WF-D</t>
        </is>
      </c>
      <c r="B23" s="8" t="n">
        <v>1</v>
      </c>
      <c r="C23" s="8" t="inlineStr">
        <is>
          <t>Customer buys from a shop → that shop's stock goes down</t>
        </is>
      </c>
      <c r="D23" s="8">
        <f>IF(COUNTIF($D$24:$D$30,"DONE")=ROWS($D$24:$D$30),"DONE",IF(COUNTIF($D$24:$D$30,"NOT BUILT")=ROWS($D$24:$D$30),"NOT BUILT","PARTIAL"))</f>
        <v/>
      </c>
      <c r="E23" s="8">
        <f>COUNTIF($D$24:$D$30,"DONE")&amp;" of "&amp;ROWS($D$24:$D$30)&amp;" steps done"</f>
        <v/>
      </c>
    </row>
    <row r="24">
      <c r="A24" s="7" t="inlineStr">
        <is>
          <t>WF-D.1</t>
        </is>
      </c>
      <c r="B24" s="7" t="n">
        <v>2</v>
      </c>
      <c r="C24" s="7" t="inlineStr">
        <is>
          <t xml:space="preserve">    Customer searches a product</t>
        </is>
      </c>
      <c r="D24" s="7" t="inlineStr">
        <is>
          <t>DONE</t>
        </is>
      </c>
      <c r="E24" s="7" t="inlineStr"/>
    </row>
    <row r="25">
      <c r="A25" s="7" t="inlineStr">
        <is>
          <t>WF-D.2</t>
        </is>
      </c>
      <c r="B25" s="7" t="n">
        <v>2</v>
      </c>
      <c r="C25" s="7" t="inlineStr">
        <is>
          <t xml:space="preserve">    Sees each shop with price and availability</t>
        </is>
      </c>
      <c r="D25" s="7" t="inlineStr">
        <is>
          <t>PARTIAL</t>
        </is>
      </c>
      <c r="E25" s="7" t="inlineStr">
        <is>
          <t>No "Low stock" label for customers</t>
        </is>
      </c>
    </row>
    <row r="26">
      <c r="A26" s="7" t="inlineStr">
        <is>
          <t>WF-D.3</t>
        </is>
      </c>
      <c r="B26" s="7" t="n">
        <v>2</v>
      </c>
      <c r="C26" s="7" t="inlineStr">
        <is>
          <t xml:space="preserve">    Cart split per shop; order belongs to the shop</t>
        </is>
      </c>
      <c r="D26" s="7" t="inlineStr">
        <is>
          <t>DONE</t>
        </is>
      </c>
      <c r="E26" s="7" t="inlineStr"/>
    </row>
    <row r="27">
      <c r="A27" s="7" t="inlineStr">
        <is>
          <t>WF-D.4</t>
        </is>
      </c>
      <c r="B27" s="7" t="n">
        <v>2</v>
      </c>
      <c r="C27" s="7" t="inlineStr">
        <is>
          <t xml:space="preserve">    Stock taken from that shop only, atomically (no overselling)</t>
        </is>
      </c>
      <c r="D27" s="7" t="inlineStr">
        <is>
          <t>DONE</t>
        </is>
      </c>
      <c r="E27" s="7" t="inlineStr">
        <is>
          <t>Conditional update + CHECK &gt;= 0</t>
        </is>
      </c>
    </row>
    <row r="28">
      <c r="A28" s="7" t="inlineStr">
        <is>
          <t>WF-D.5</t>
        </is>
      </c>
      <c r="B28" s="7" t="n">
        <v>2</v>
      </c>
      <c r="C28" s="7" t="inlineStr">
        <is>
          <t xml:space="preserve">    Zero stock → that shop's listing out of stock; others stay available</t>
        </is>
      </c>
      <c r="D28" s="7" t="inlineStr">
        <is>
          <t>DONE</t>
        </is>
      </c>
      <c r="E28" s="7" t="inlineStr"/>
    </row>
    <row r="29">
      <c r="A29" s="7" t="inlineStr">
        <is>
          <t>WF-D.6</t>
        </is>
      </c>
      <c r="B29" s="7" t="n">
        <v>2</v>
      </c>
      <c r="C29" s="7" t="inlineStr">
        <is>
          <t xml:space="preserve">    Cancellation puts stock back</t>
        </is>
      </c>
      <c r="D29" s="7" t="inlineStr">
        <is>
          <t>DONE</t>
        </is>
      </c>
      <c r="E29" s="7" t="inlineStr"/>
    </row>
    <row r="30">
      <c r="A30" s="7" t="inlineStr">
        <is>
          <t>WF-D.7</t>
        </is>
      </c>
      <c r="B30" s="7" t="n">
        <v>2</v>
      </c>
      <c r="C30" s="7" t="inlineStr">
        <is>
          <t xml:space="preserve">    Customer return after delivery puts stock back</t>
        </is>
      </c>
      <c r="D30" s="7" t="inlineStr">
        <is>
          <t>NOT BUILT</t>
        </is>
      </c>
      <c r="E30" s="7" t="inlineStr">
        <is>
          <t>Credit note only; stock not restored</t>
        </is>
      </c>
    </row>
    <row r="31">
      <c r="A31" s="8" t="inlineStr">
        <is>
          <t>WF-E</t>
        </is>
      </c>
      <c r="B31" s="8" t="n">
        <v>1</v>
      </c>
      <c r="C31" s="8" t="inlineStr">
        <is>
          <t>Shop bulk inventory upload (Excel / CSV)</t>
        </is>
      </c>
      <c r="D31" s="8">
        <f>IF(COUNTIF($D$32:$D$36,"DONE")=ROWS($D$32:$D$36),"DONE",IF(COUNTIF($D$32:$D$36,"NOT BUILT")=ROWS($D$32:$D$36),"NOT BUILT","PARTIAL"))</f>
        <v/>
      </c>
      <c r="E31" s="8">
        <f>COUNTIF($D$32:$D$36,"DONE")&amp;" of "&amp;ROWS($D$32:$D$36)&amp;" steps done"</f>
        <v/>
      </c>
    </row>
    <row r="32">
      <c r="A32" s="7" t="inlineStr">
        <is>
          <t>WF-E.1</t>
        </is>
      </c>
      <c r="B32" s="7" t="n">
        <v>2</v>
      </c>
      <c r="C32" s="7" t="inlineStr">
        <is>
          <t xml:space="preserve">    Upload file for the logged-in shop only (server check)</t>
        </is>
      </c>
      <c r="D32" s="7" t="inlineStr">
        <is>
          <t>DONE</t>
        </is>
      </c>
      <c r="E32" s="7" t="inlineStr">
        <is>
          <t>403 / 404 for another shop</t>
        </is>
      </c>
    </row>
    <row r="33">
      <c r="A33" s="7" t="inlineStr">
        <is>
          <t>WF-E.2</t>
        </is>
      </c>
      <c r="B33" s="7" t="n">
        <v>2</v>
      </c>
      <c r="C33" s="7" t="inlineStr">
        <is>
          <t xml:space="preserve">    Match rows by GTIN / SKU / name to the master</t>
        </is>
      </c>
      <c r="D33" s="7" t="inlineStr">
        <is>
          <t>DONE</t>
        </is>
      </c>
      <c r="E33" s="7" t="inlineStr"/>
    </row>
    <row r="34">
      <c r="A34" s="7" t="inlineStr">
        <is>
          <t>WF-E.3</t>
        </is>
      </c>
      <c r="B34" s="7" t="n">
        <v>2</v>
      </c>
      <c r="C34" s="7" t="inlineStr">
        <is>
          <t xml:space="preserve">    Set / add stock and selling price; ledger rows written</t>
        </is>
      </c>
      <c r="D34" s="7" t="inlineStr">
        <is>
          <t>DONE</t>
        </is>
      </c>
      <c r="E34" s="7" t="inlineStr"/>
    </row>
    <row r="35">
      <c r="A35" s="7" t="inlineStr">
        <is>
          <t>WF-E.4</t>
        </is>
      </c>
      <c r="B35" s="7" t="n">
        <v>2</v>
      </c>
      <c r="C35" s="7" t="inlineStr">
        <is>
          <t xml:space="preserve">    Import threshold, reorder level, reorder qty</t>
        </is>
      </c>
      <c r="D35" s="7" t="inlineStr">
        <is>
          <t>NOT BUILT</t>
        </is>
      </c>
      <c r="E35" s="7" t="inlineStr"/>
    </row>
    <row r="36">
      <c r="A36" s="7" t="inlineStr">
        <is>
          <t>WF-E.5</t>
        </is>
      </c>
      <c r="B36" s="7" t="n">
        <v>2</v>
      </c>
      <c r="C36" s="7" t="inlineStr">
        <is>
          <t xml:space="preserve">    Validation, warnings and downloadable result report</t>
        </is>
      </c>
      <c r="D36" s="7" t="inlineStr">
        <is>
          <t>PARTIAL</t>
        </is>
      </c>
      <c r="E36" s="7" t="inlineStr">
        <is>
          <t>Warnings only - rows never rejected; missing GTIN not flagged</t>
        </is>
      </c>
    </row>
    <row r="37">
      <c r="A37" s="8" t="inlineStr">
        <is>
          <t>WF-F</t>
        </is>
      </c>
      <c r="B37" s="8" t="n">
        <v>1</v>
      </c>
      <c r="C37" s="8" t="inlineStr">
        <is>
          <t>Product Master import and external data</t>
        </is>
      </c>
      <c r="D37" s="8">
        <f>IF(COUNTIF($D$38:$D$42,"DONE")=ROWS($D$38:$D$42),"DONE",IF(COUNTIF($D$38:$D$42,"NOT BUILT")=ROWS($D$38:$D$42),"NOT BUILT","PARTIAL"))</f>
        <v/>
      </c>
      <c r="E37" s="8">
        <f>COUNTIF($D$38:$D$42,"DONE")&amp;" of "&amp;ROWS($D$38:$D$42)&amp;" steps done"</f>
        <v/>
      </c>
    </row>
    <row r="38">
      <c r="A38" s="7" t="inlineStr">
        <is>
          <t>WF-F.1</t>
        </is>
      </c>
      <c r="B38" s="7" t="n">
        <v>2</v>
      </c>
      <c r="C38" s="7" t="inlineStr">
        <is>
          <t xml:space="preserve">    Admin uploads Product Master Excel (no shop involved)</t>
        </is>
      </c>
      <c r="D38" s="7" t="inlineStr">
        <is>
          <t>PARTIAL</t>
        </is>
      </c>
      <c r="E38" s="7" t="inlineStr">
        <is>
          <t>Only via shop picker, or PMD JSON / CLI</t>
        </is>
      </c>
    </row>
    <row r="39">
      <c r="A39" s="7" t="inlineStr">
        <is>
          <t>WF-F.2</t>
        </is>
      </c>
      <c r="B39" s="7" t="n">
        <v>2</v>
      </c>
      <c r="C39" s="7" t="inlineStr">
        <is>
          <t xml:space="preserve">    Validate and report errors</t>
        </is>
      </c>
      <c r="D39" s="7" t="inlineStr">
        <is>
          <t>PARTIAL</t>
        </is>
      </c>
      <c r="E39" s="7" t="inlineStr">
        <is>
          <t>PMD has error codes; shop import warns only</t>
        </is>
      </c>
    </row>
    <row r="40">
      <c r="A40" s="7" t="inlineStr">
        <is>
          <t>WF-F.3</t>
        </is>
      </c>
      <c r="B40" s="7" t="n">
        <v>2</v>
      </c>
      <c r="C40" s="7" t="inlineStr">
        <is>
          <t xml:space="preserve">    Duplicate detection by GTIN</t>
        </is>
      </c>
      <c r="D40" s="7" t="inlineStr">
        <is>
          <t>PARTIAL</t>
        </is>
      </c>
      <c r="E40" s="7" t="inlineStr">
        <is>
          <t>Unique GTIN; no canonical GTIN-14 form</t>
        </is>
      </c>
    </row>
    <row r="41">
      <c r="A41" s="7" t="inlineStr">
        <is>
          <t>WF-F.4</t>
        </is>
      </c>
      <c r="B41" s="7" t="n">
        <v>2</v>
      </c>
      <c r="C41" s="7" t="inlineStr">
        <is>
          <t xml:space="preserve">    External feed (GS1 / brand) → PMD → admin promote → catalogue</t>
        </is>
      </c>
      <c r="D41" s="7" t="inlineStr">
        <is>
          <t>PARTIAL</t>
        </is>
      </c>
      <c r="E41" s="7" t="inlineStr">
        <is>
          <t>File feeds only; GS1 blocked on agreement; manual promote</t>
        </is>
      </c>
    </row>
    <row r="42">
      <c r="A42" s="7" t="inlineStr">
        <is>
          <t>WF-F.5</t>
        </is>
      </c>
      <c r="B42" s="7" t="n">
        <v>2</v>
      </c>
      <c r="C42" s="7" t="inlineStr">
        <is>
          <t xml:space="preserve">    Background synchronisation</t>
        </is>
      </c>
      <c r="D42" s="7" t="inlineStr">
        <is>
          <t>NOT BUILT</t>
        </is>
      </c>
      <c r="E42" s="7" t="inlineStr">
        <is>
          <t>CLI only</t>
        </is>
      </c>
    </row>
    <row r="43">
      <c r="A43" s="8" t="inlineStr">
        <is>
          <t>WF-G</t>
        </is>
      </c>
      <c r="B43" s="8" t="n">
        <v>1</v>
      </c>
      <c r="C43" s="8" t="inlineStr">
        <is>
          <t>MRP governance</t>
        </is>
      </c>
      <c r="D43" s="8">
        <f>IF(COUNTIF($D$44:$D$47,"DONE")=ROWS($D$44:$D$47),"DONE",IF(COUNTIF($D$44:$D$47,"NOT BUILT")=ROWS($D$44:$D$47),"NOT BUILT","PARTIAL"))</f>
        <v/>
      </c>
      <c r="E43" s="8">
        <f>COUNTIF($D$44:$D$47,"DONE")&amp;" of "&amp;ROWS($D$44:$D$47)&amp;" steps done"</f>
        <v/>
      </c>
    </row>
    <row r="44">
      <c r="A44" s="7" t="inlineStr">
        <is>
          <t>WF-G.1</t>
        </is>
      </c>
      <c r="B44" s="7" t="n">
        <v>2</v>
      </c>
      <c r="C44" s="7" t="inlineStr">
        <is>
          <t xml:space="preserve">    MRP held on the master with source, date, status, history</t>
        </is>
      </c>
      <c r="D44" s="7" t="inlineStr">
        <is>
          <t>DONE</t>
        </is>
      </c>
      <c r="E44" s="7" t="inlineStr"/>
    </row>
    <row r="45">
      <c r="A45" s="7" t="inlineStr">
        <is>
          <t>WF-G.2</t>
        </is>
      </c>
      <c r="B45" s="7" t="n">
        <v>2</v>
      </c>
      <c r="C45" s="7" t="inlineStr">
        <is>
          <t xml:space="preserve">    Shop price may not exceed MRP</t>
        </is>
      </c>
      <c r="D45" s="7" t="inlineStr">
        <is>
          <t>DONE</t>
        </is>
      </c>
      <c r="E45" s="7" t="inlineStr"/>
    </row>
    <row r="46">
      <c r="A46" s="7" t="inlineStr">
        <is>
          <t>WF-G.3</t>
        </is>
      </c>
      <c r="B46" s="7" t="n">
        <v>2</v>
      </c>
      <c r="C46" s="7" t="inlineStr">
        <is>
          <t xml:space="preserve">    Shop disputes MRP → correction queue → admin decides</t>
        </is>
      </c>
      <c r="D46" s="7" t="inlineStr">
        <is>
          <t>DONE</t>
        </is>
      </c>
      <c r="E46" s="7" t="inlineStr">
        <is>
          <t>/admin/mrp</t>
        </is>
      </c>
    </row>
    <row r="47">
      <c r="A47" s="7" t="inlineStr">
        <is>
          <t>WF-G.4</t>
        </is>
      </c>
      <c r="B47" s="7" t="n">
        <v>2</v>
      </c>
      <c r="C47" s="7" t="inlineStr">
        <is>
          <t xml:space="preserve">    Shop cannot write master MRP</t>
        </is>
      </c>
      <c r="D47" s="7" t="inlineStr">
        <is>
          <t>PARTIAL</t>
        </is>
      </c>
      <c r="E47" s="7" t="inlineStr">
        <is>
          <t>Purchase-bill flow can set MRP on a NEW product</t>
        </is>
      </c>
    </row>
    <row r="48">
      <c r="A48" s="8" t="inlineStr">
        <is>
          <t>WF-H</t>
        </is>
      </c>
      <c r="B48" s="8" t="n">
        <v>1</v>
      </c>
      <c r="C48" s="8" t="inlineStr">
        <is>
          <t>Supplier restocking (future)</t>
        </is>
      </c>
      <c r="D48" s="8">
        <f>IF(COUNTIF($D$49:$D$51,"DONE")=ROWS($D$49:$D$51),"DONE",IF(COUNTIF($D$49:$D$51,"NOT BUILT")=ROWS($D$49:$D$51),"NOT BUILT","PARTIAL"))</f>
        <v/>
      </c>
      <c r="E48" s="8">
        <f>COUNTIF($D$49:$D$51,"DONE")&amp;" of "&amp;ROWS($D$49:$D$51)&amp;" steps done"</f>
        <v/>
      </c>
    </row>
    <row r="49">
      <c r="A49" s="7" t="inlineStr">
        <is>
          <t>WF-H.1</t>
        </is>
      </c>
      <c r="B49" s="7" t="n">
        <v>2</v>
      </c>
      <c r="C49" s="7" t="inlineStr">
        <is>
          <t xml:space="preserve">    Reorder list → purchase order</t>
        </is>
      </c>
      <c r="D49" s="7" t="inlineStr">
        <is>
          <t>NOT BUILT</t>
        </is>
      </c>
      <c r="E49" s="7" t="inlineStr"/>
    </row>
    <row r="50">
      <c r="A50" s="7" t="inlineStr">
        <is>
          <t>WF-H.2</t>
        </is>
      </c>
      <c r="B50" s="7" t="n">
        <v>2</v>
      </c>
      <c r="C50" s="7" t="inlineStr">
        <is>
          <t xml:space="preserve">    Supplier master</t>
        </is>
      </c>
      <c r="D50" s="7" t="inlineStr">
        <is>
          <t>DONE</t>
        </is>
      </c>
      <c r="E50" s="7" t="inlineStr">
        <is>
          <t>acc_parties</t>
        </is>
      </c>
    </row>
    <row r="51">
      <c r="A51" s="7" t="inlineStr">
        <is>
          <t>WF-H.3</t>
        </is>
      </c>
      <c r="B51" s="7" t="n">
        <v>2</v>
      </c>
      <c r="C51" s="7" t="inlineStr">
        <is>
          <t xml:space="preserve">    Goods received / purchase bill → stock up at cost</t>
        </is>
      </c>
      <c r="D51" s="7" t="inlineStr">
        <is>
          <t>PARTIAL</t>
        </is>
      </c>
      <c r="E51" s="7" t="inlineStr">
        <is>
          <t>Purchase bill doubles as goods receipt; no GRN</t>
        </is>
      </c>
    </row>
  </sheetData>
  <autoFilter ref="A1:E51"/>
  <conditionalFormatting sqref="D2:D51">
    <cfRule type="cellIs" priority="1" operator="equal" dxfId="0">
      <formula>"DONE"</formula>
    </cfRule>
    <cfRule type="cellIs" priority="2" operator="equal" dxfId="0">
      <formula>"COVERED"</formula>
    </cfRule>
    <cfRule type="cellIs" priority="3" operator="equal" dxfId="1">
      <formula>"PARTIAL"</formula>
    </cfRule>
    <cfRule type="cellIs" priority="4" operator="equal" dxfId="1">
      <formula>"PARTLY"</formula>
    </cfRule>
    <cfRule type="cellIs" priority="5" operator="equal" dxfId="2">
      <formula>"NOT BUILT"</formula>
    </cfRule>
    <cfRule type="cellIs" priority="6" operator="equal" dxfId="2">
      <formula>"NOT COVERED"</formula>
    </cfRule>
    <cfRule type="cellIs" priority="7" operator="equal" dxfId="2">
      <formula>"High"</formula>
    </cfRule>
    <cfRule type="cellIs" priority="8" operator="equal" dxfId="1">
      <formula>"Medium"</formula>
    </cfRule>
    <cfRule type="cellIs" priority="9" operator="equal" dxfId="3">
      <formula>"Low"</formula>
    </cfRule>
  </conditionalFormatting>
  <dataValidations count="1">
    <dataValidation sqref="D2:D51" showDropDown="0" showInputMessage="0" showErrorMessage="0" allowBlank="1" type="list">
      <formula1>"DONE,PARTIAL,NOT BUILT"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4" customWidth="1" min="3" max="3"/>
    <col width="70" customWidth="1" min="4" max="4"/>
    <col width="50" customWidth="1" min="5" max="5"/>
  </cols>
  <sheetData>
    <row r="1">
      <c r="A1" s="6" t="inlineStr">
        <is>
          <t>Test</t>
        </is>
      </c>
      <c r="B1" s="6" t="inlineStr">
        <is>
          <t>Spec test (§43)</t>
        </is>
      </c>
      <c r="C1" s="6" t="inlineStr">
        <is>
          <t>Coverage</t>
        </is>
      </c>
      <c r="D1" s="6" t="inlineStr">
        <is>
          <t>Existing automated test (file :: name)</t>
        </is>
      </c>
      <c r="E1" s="6" t="inlineStr">
        <is>
          <t>Gap</t>
        </is>
      </c>
    </row>
    <row r="2">
      <c r="A2" s="7" t="inlineStr">
        <is>
          <t>T1</t>
        </is>
      </c>
      <c r="B2" s="7" t="inlineStr">
        <is>
          <t>Marketplace preservation - two shops stay independent sellers</t>
        </is>
      </c>
      <c r="C2" s="7" t="inlineStr">
        <is>
          <t>COVERED</t>
        </is>
      </c>
      <c r="D2" s="7" t="inlineStr">
        <is>
          <t>checkout.test.ts :: splits a cross-shop cart; product-master-inventory.test.ts :: two shops stock the same master product</t>
        </is>
      </c>
      <c r="E2" s="7" t="inlineStr"/>
    </row>
    <row r="3">
      <c r="A3" s="7" t="inlineStr">
        <is>
          <t>T2</t>
        </is>
      </c>
      <c r="B3" s="7" t="inlineStr">
        <is>
          <t>Same product → one Product Master</t>
        </is>
      </c>
      <c r="C3" s="7" t="inlineStr">
        <is>
          <t>COVERED</t>
        </is>
      </c>
      <c r="D3" s="7" t="inlineStr">
        <is>
          <t>product-master-inventory.test.ts (asserts 1 product row); pmd-review-bridge.test.ts</t>
        </is>
      </c>
      <c r="E3" s="7" t="inlineStr"/>
    </row>
    <row r="4">
      <c r="A4" s="7" t="inlineStr">
        <is>
          <t>T3</t>
        </is>
      </c>
      <c r="B4" s="7" t="inlineStr">
        <is>
          <t>Independent price (95 / 90)</t>
        </is>
      </c>
      <c r="C4" s="7" t="inlineStr">
        <is>
          <t>COVERED</t>
        </is>
      </c>
      <c r="D4" s="7" t="inlineStr">
        <is>
          <t>product-master-inventory.test.ts; shop-inventory-fill.test.ts</t>
        </is>
      </c>
      <c r="E4" s="7" t="inlineStr"/>
    </row>
    <row r="5">
      <c r="A5" s="7" t="inlineStr">
        <is>
          <t>T4</t>
        </is>
      </c>
      <c r="B5" s="7" t="inlineStr">
        <is>
          <t>Independent stock (A 20→10, B stays 5)</t>
        </is>
      </c>
      <c r="C5" s="7" t="inlineStr">
        <is>
          <t>COVERED</t>
        </is>
      </c>
      <c r="D5" s="7" t="inlineStr">
        <is>
          <t>product-master-inventory.test.ts (A restocked, B unchanged)</t>
        </is>
      </c>
      <c r="E5" s="7" t="inlineStr"/>
    </row>
    <row r="6">
      <c r="A6" s="7" t="inlineStr">
        <is>
          <t>T5</t>
        </is>
      </c>
      <c r="B6" s="7" t="inlineStr">
        <is>
          <t>Low-stock alert only for shop B</t>
        </is>
      </c>
      <c r="C6" s="7" t="inlineStr">
        <is>
          <t>PARTLY</t>
        </is>
      </c>
      <c r="D6" s="7" t="inlineStr">
        <is>
          <t>product-master-inventory.test.ts :: raises LOW_STOCK alert</t>
        </is>
      </c>
      <c r="E6" s="7" t="inlineStr">
        <is>
          <t>Single shop; does not check shop A gets no alert</t>
        </is>
      </c>
    </row>
    <row r="7">
      <c r="A7" s="7" t="inlineStr">
        <is>
          <t>T6</t>
        </is>
      </c>
      <c r="B7" s="7" t="inlineStr">
        <is>
          <t>Out of stock at B, A still available</t>
        </is>
      </c>
      <c r="C7" s="7" t="inlineStr">
        <is>
          <t>PARTLY</t>
        </is>
      </c>
      <c r="D7" s="7" t="inlineStr">
        <is>
          <t>product-master-inventory.test.ts :: OUT_OF_STOCK marks line unavailable</t>
        </is>
      </c>
      <c r="E7" s="7" t="inlineStr">
        <is>
          <t>Single shop</t>
        </is>
      </c>
    </row>
    <row r="8">
      <c r="A8" s="7" t="inlineStr">
        <is>
          <t>T7</t>
        </is>
      </c>
      <c r="B8" s="7" t="inlineStr">
        <is>
          <t>Customer search shows shops with price / availability</t>
        </is>
      </c>
      <c r="C8" s="7" t="inlineStr">
        <is>
          <t>PARTLY</t>
        </is>
      </c>
      <c r="D8" s="7" t="inlineStr">
        <is>
          <t>price-comparison.test.ts</t>
        </is>
      </c>
      <c r="E8" s="7" t="inlineStr">
        <is>
          <t>Prices only; "Low stock" not shown to customers</t>
        </is>
      </c>
    </row>
    <row r="9">
      <c r="A9" s="7" t="inlineStr">
        <is>
          <t>T8</t>
        </is>
      </c>
      <c r="B9" s="7" t="inlineStr">
        <is>
          <t>Barcode scan finds master and adds to shop A</t>
        </is>
      </c>
      <c r="C9" s="7" t="inlineStr">
        <is>
          <t>PARTLY</t>
        </is>
      </c>
      <c r="D9" s="7" t="inlineStr">
        <is>
          <t>product-master-inventory.test.ts :: finds master by GTIN; product-import.test.ts :: barcode links shop</t>
        </is>
      </c>
      <c r="E9" s="7" t="inlineStr">
        <is>
          <t>Scan-and-add not built</t>
        </is>
      </c>
    </row>
    <row r="10">
      <c r="A10" s="7" t="inlineStr">
        <is>
          <t>T9</t>
        </is>
      </c>
      <c r="B10" s="7" t="inlineStr">
        <is>
          <t>MRP stays 100 with shop prices 95 / 90</t>
        </is>
      </c>
      <c r="C10" s="7" t="inlineStr">
        <is>
          <t>COVERED</t>
        </is>
      </c>
      <c r="D10" s="7" t="inlineStr">
        <is>
          <t>product-master-inventory.test.ts</t>
        </is>
      </c>
      <c r="E10" s="7" t="inlineStr"/>
    </row>
    <row r="11">
      <c r="A11" s="7" t="inlineStr">
        <is>
          <t>T10</t>
        </is>
      </c>
      <c r="B11" s="7" t="inlineStr">
        <is>
          <t>Shop owner cannot change MRP</t>
        </is>
      </c>
      <c r="C11" s="7" t="inlineStr">
        <is>
          <t>COVERED</t>
        </is>
      </c>
      <c r="D11" s="7" t="inlineStr">
        <is>
          <t>product-master-inventory.test.ts :: refuses a shop owner writing master MRP</t>
        </is>
      </c>
      <c r="E11" s="7" t="inlineStr">
        <is>
          <t>Service level; no /api/mrp route test</t>
        </is>
      </c>
    </row>
    <row r="12">
      <c r="A12" s="7" t="inlineStr">
        <is>
          <t>T11</t>
        </is>
      </c>
      <c r="B12" s="7" t="inlineStr">
        <is>
          <t>Bulk inventory upload changes only shop A</t>
        </is>
      </c>
      <c r="C12" s="7" t="inlineStr">
        <is>
          <t>PARTLY</t>
        </is>
      </c>
      <c r="D12" s="7" t="inlineStr">
        <is>
          <t>excel-goods-upload.test.ts; product-import.test.ts :: cannot import into another shop</t>
        </is>
      </c>
      <c r="E12" s="7" t="inlineStr">
        <is>
          <t>Cross-shop stock not asserted</t>
        </is>
      </c>
    </row>
    <row r="13">
      <c r="A13" s="7" t="inlineStr">
        <is>
          <t>T12</t>
        </is>
      </c>
      <c r="B13" s="7" t="inlineStr">
        <is>
          <t>Shop A cannot modify shop B inventory</t>
        </is>
      </c>
      <c r="C13" s="7" t="inlineStr">
        <is>
          <t>PARTLY</t>
        </is>
      </c>
      <c r="D13" s="7" t="inlineStr">
        <is>
          <t>shop-inventory-fill.test.ts (403 on prices); inventory-accounting.test.ts</t>
        </is>
      </c>
      <c r="E13" s="7" t="inlineStr">
        <is>
          <t>No test on stock routes (shop-products, stock-settings, inventory)</t>
        </is>
      </c>
    </row>
    <row r="14">
      <c r="A14" s="7" t="inlineStr">
        <is>
          <t>T13</t>
        </is>
      </c>
      <c r="B14" s="7" t="inlineStr">
        <is>
          <t>Order from shop A decreases only shop A stock</t>
        </is>
      </c>
      <c r="C14" s="7" t="inlineStr">
        <is>
          <t>PARTLY</t>
        </is>
      </c>
      <c r="D14" s="7" t="inlineStr">
        <is>
          <t>checkout.test.ts :: decrements stock</t>
        </is>
      </c>
      <c r="E14" s="7" t="inlineStr">
        <is>
          <t>Other shop's stock not asserted</t>
        </is>
      </c>
    </row>
    <row r="15">
      <c r="A15" s="7" t="inlineStr">
        <is>
          <t>T14</t>
        </is>
      </c>
      <c r="B15" s="7" t="inlineStr">
        <is>
          <t>Concurrent orders cannot oversell</t>
        </is>
      </c>
      <c r="C15" s="7" t="inlineStr">
        <is>
          <t>NOT COVERED</t>
        </is>
      </c>
      <c r="D15" s="7" t="inlineStr">
        <is>
          <t>-</t>
        </is>
      </c>
      <c r="E15" s="7" t="inlineStr">
        <is>
          <t>Protected in code (conditional update) but no last-unit race test</t>
        </is>
      </c>
    </row>
    <row r="16">
      <c r="A16" s="7" t="inlineStr">
        <is>
          <t>T15</t>
        </is>
      </c>
      <c r="B16" s="7" t="inlineStr">
        <is>
          <t>Below reorder level → in that shop's Reorder List</t>
        </is>
      </c>
      <c r="C16" s="7" t="inlineStr">
        <is>
          <t>PARTLY</t>
        </is>
      </c>
      <c r="D16" s="7" t="inlineStr">
        <is>
          <t>product-master-inventory.test.ts :: reorder level separate signal</t>
        </is>
      </c>
      <c r="E16" s="7" t="inlineStr">
        <is>
          <t>No Reorder List feature to test</t>
        </is>
      </c>
    </row>
  </sheetData>
  <autoFilter ref="A1:E16"/>
  <conditionalFormatting sqref="C2:C16">
    <cfRule type="cellIs" priority="1" operator="equal" dxfId="0">
      <formula>"DONE"</formula>
    </cfRule>
    <cfRule type="cellIs" priority="2" operator="equal" dxfId="0">
      <formula>"COVERED"</formula>
    </cfRule>
    <cfRule type="cellIs" priority="3" operator="equal" dxfId="1">
      <formula>"PARTIAL"</formula>
    </cfRule>
    <cfRule type="cellIs" priority="4" operator="equal" dxfId="1">
      <formula>"PARTLY"</formula>
    </cfRule>
    <cfRule type="cellIs" priority="5" operator="equal" dxfId="2">
      <formula>"NOT BUILT"</formula>
    </cfRule>
    <cfRule type="cellIs" priority="6" operator="equal" dxfId="2">
      <formula>"NOT COVERED"</formula>
    </cfRule>
    <cfRule type="cellIs" priority="7" operator="equal" dxfId="2">
      <formula>"High"</formula>
    </cfRule>
    <cfRule type="cellIs" priority="8" operator="equal" dxfId="1">
      <formula>"Medium"</formula>
    </cfRule>
    <cfRule type="cellIs" priority="9" operator="equal" dxfId="3">
      <formula>"Low"</formula>
    </cfRule>
  </conditionalFormatting>
  <dataValidations count="1">
    <dataValidation sqref="C2:C16" showDropDown="0" showInputMessage="0" showErrorMessage="0" allowBlank="1" type="list">
      <formula1>"COVERED,PARTLY,NOT COVERED"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12" customWidth="1" min="4" max="4"/>
    <col width="60" customWidth="1" min="5" max="5"/>
    <col width="40" customWidth="1" min="6" max="6"/>
  </cols>
  <sheetData>
    <row r="1">
      <c r="A1" s="6" t="inlineStr">
        <is>
          <t>Phase</t>
        </is>
      </c>
      <c r="B1" s="6" t="inlineStr">
        <is>
          <t>Name</t>
        </is>
      </c>
      <c r="C1" s="6" t="inlineStr">
        <is>
          <t>Spec scope</t>
        </is>
      </c>
      <c r="D1" s="6" t="inlineStr">
        <is>
          <t>Status</t>
        </is>
      </c>
      <c r="E1" s="6" t="inlineStr">
        <is>
          <t>Comment</t>
        </is>
      </c>
      <c r="F1" s="6" t="inlineStr">
        <is>
          <t>Feature IDs</t>
        </is>
      </c>
    </row>
    <row r="2">
      <c r="A2" s="7" t="inlineStr">
        <is>
          <t>Phase 1</t>
        </is>
      </c>
      <c r="B2" s="7" t="inlineStr">
        <is>
          <t>Product catalogue</t>
        </is>
      </c>
      <c r="C2" s="7" t="inlineStr">
        <is>
          <t>Product Master, brands, categories, subcategories, GTIN, pack, manufacturer, origin, HSN, GST, MRP, MRP history, images</t>
        </is>
      </c>
      <c r="D2" s="7" t="inlineStr">
        <is>
          <t>PARTIAL</t>
        </is>
      </c>
      <c r="E2" s="7" t="inlineStr">
        <is>
          <t>Tables and data built; admin edit screens for master fields, brands and subcategories missing; a few columns missing</t>
        </is>
      </c>
      <c r="F2" s="7" t="inlineStr">
        <is>
          <t>PM-01, PM-02, PM-03, PM-04, PM-05, PM-06, PM-07, PM-08, PM-11</t>
        </is>
      </c>
    </row>
    <row r="3">
      <c r="A3" s="7" t="inlineStr">
        <is>
          <t>Phase 2</t>
        </is>
      </c>
      <c r="B3" s="7" t="inlineStr">
        <is>
          <t>Shop inventory</t>
        </is>
      </c>
      <c r="C3" s="7" t="inlineStr">
        <is>
          <t>Shop → master link, independent inventory, price, stock, thresholds, reorder, dashboard, reorder list, status, history</t>
        </is>
      </c>
      <c r="D3" s="7" t="inlineStr">
        <is>
          <t>PARTIAL</t>
        </is>
      </c>
      <c r="E3" s="7" t="inlineStr">
        <is>
          <t>Engine, alerts and dashboard done; reorder list page, MRP column and add-product form fields missing</t>
        </is>
      </c>
      <c r="F3" s="7" t="inlineStr">
        <is>
          <t>SI-01, SI-05, SI-06, SI-07, SI-08, SI-09, SI-10, SI-11, IT-01</t>
        </is>
      </c>
    </row>
    <row r="4">
      <c r="A4" s="7" t="inlineStr">
        <is>
          <t>Phase 3</t>
        </is>
      </c>
      <c r="B4" s="7" t="inlineStr">
        <is>
          <t>Barcode</t>
        </is>
      </c>
      <c r="C4" s="7" t="inlineStr">
        <is>
          <t>Mobile scanning, scanner support, GTIN lookup, master lookup</t>
        </is>
      </c>
      <c r="D4" s="7" t="inlineStr">
        <is>
          <t>NOT BUILT</t>
        </is>
      </c>
      <c r="E4" s="7" t="inlineStr">
        <is>
          <t>Only a back-end GTIN lookup function exists</t>
        </is>
      </c>
      <c r="F4" s="7" t="inlineStr">
        <is>
          <t>SI-03, SI-04</t>
        </is>
      </c>
    </row>
    <row r="5">
      <c r="A5" s="7" t="inlineStr">
        <is>
          <t>Phase 4</t>
        </is>
      </c>
      <c r="B5" s="7" t="inlineStr">
        <is>
          <t>Bulk import</t>
        </is>
      </c>
      <c r="C5" s="7" t="inlineStr">
        <is>
          <t>Master import, shop inventory import, validation, error reports, duplicates</t>
        </is>
      </c>
      <c r="D5" s="7" t="inlineStr">
        <is>
          <t>PARTIAL</t>
        </is>
      </c>
      <c r="E5" s="7" t="inlineStr">
        <is>
          <t>Shop bulk upload live on gokesari.com (15 Oct); master-only Excel import, thresholds and hard validation missing</t>
        </is>
      </c>
      <c r="F5" s="7" t="inlineStr">
        <is>
          <t>IM-01, IM-02, IM-03</t>
        </is>
      </c>
    </row>
    <row r="6">
      <c r="A6" s="7" t="inlineStr">
        <is>
          <t>Phase 5</t>
        </is>
      </c>
      <c r="B6" s="7" t="inlineStr">
        <is>
          <t>External product data</t>
        </is>
      </c>
      <c r="C6" s="7" t="inlineStr">
        <is>
          <t>Provider abstraction, GS1 / DataKart, lookup, sync, MRP verification</t>
        </is>
      </c>
      <c r="D6" s="7" t="inlineStr">
        <is>
          <t>PARTIAL</t>
        </is>
      </c>
      <c r="E6" s="7" t="inlineStr">
        <is>
          <t>Batch adapters built; per-GTIN lookup, live GS1 and sync missing; GS1 agreement pending</t>
        </is>
      </c>
      <c r="F6" s="7" t="inlineStr">
        <is>
          <t>EX-01, EX-02, EX-03</t>
        </is>
      </c>
    </row>
    <row r="7">
      <c r="A7" s="7" t="inlineStr">
        <is>
          <t>Phase 6</t>
        </is>
      </c>
      <c r="B7" s="7" t="inlineStr">
        <is>
          <t>Advanced inventory</t>
        </is>
      </c>
      <c r="C7" s="7" t="inlineStr">
        <is>
          <t>Reservation, order deduction, purchase / restock, supplier, purchase orders</t>
        </is>
      </c>
      <c r="D7" s="7" t="inlineStr">
        <is>
          <t>PARTIAL</t>
        </is>
      </c>
      <c r="E7" s="7" t="inlineStr">
        <is>
          <t>Order deduction and purchase bills done; reservation holds, purchase orders and GRN missing</t>
        </is>
      </c>
      <c r="F7" s="7" t="inlineStr">
        <is>
          <t>OR-01, OR-02, OR-03, OR-04, SU-01</t>
        </is>
      </c>
    </row>
    <row r="8">
      <c r="A8" s="7" t="inlineStr">
        <is>
          <t>Phase 7</t>
        </is>
      </c>
      <c r="B8" s="7" t="inlineStr">
        <is>
          <t>AI</t>
        </is>
      </c>
      <c r="C8" s="7" t="inlineStr">
        <is>
          <t>Image recognition, OCR, matching, AI categorisation, duplicates</t>
        </is>
      </c>
      <c r="D8" s="7" t="inlineStr">
        <is>
          <t>PARTIAL</t>
        </is>
      </c>
      <c r="E8" s="7" t="inlineStr">
        <is>
          <t>AI used for bills and KYC documents only</t>
        </is>
      </c>
      <c r="F8" s="7" t="inlineStr">
        <is>
          <t>AI-01</t>
        </is>
      </c>
    </row>
  </sheetData>
  <autoFilter ref="A1:F8"/>
  <conditionalFormatting sqref="D2:D8">
    <cfRule type="cellIs" priority="1" operator="equal" dxfId="0">
      <formula>"DONE"</formula>
    </cfRule>
    <cfRule type="cellIs" priority="2" operator="equal" dxfId="0">
      <formula>"COVERED"</formula>
    </cfRule>
    <cfRule type="cellIs" priority="3" operator="equal" dxfId="1">
      <formula>"PARTIAL"</formula>
    </cfRule>
    <cfRule type="cellIs" priority="4" operator="equal" dxfId="1">
      <formula>"PARTLY"</formula>
    </cfRule>
    <cfRule type="cellIs" priority="5" operator="equal" dxfId="2">
      <formula>"NOT BUILT"</formula>
    </cfRule>
    <cfRule type="cellIs" priority="6" operator="equal" dxfId="2">
      <formula>"NOT COVERED"</formula>
    </cfRule>
    <cfRule type="cellIs" priority="7" operator="equal" dxfId="2">
      <formula>"High"</formula>
    </cfRule>
    <cfRule type="cellIs" priority="8" operator="equal" dxfId="1">
      <formula>"Medium"</formula>
    </cfRule>
    <cfRule type="cellIs" priority="9" operator="equal" dxfId="3">
      <formula>"Low"</formula>
    </cfRule>
  </conditionalFormatting>
  <dataValidations count="1">
    <dataValidation sqref="D2:D8" showDropDown="0" showInputMessage="0" showErrorMessage="0" allowBlank="1" type="list">
      <formula1>"DONE,PARTIAL,NOT BUILT"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90" customWidth="1" min="3" max="3"/>
    <col width="26" customWidth="1" min="4" max="4"/>
  </cols>
  <sheetData>
    <row r="1">
      <c r="A1" s="6" t="inlineStr">
        <is>
          <t>#</t>
        </is>
      </c>
      <c r="B1" s="6" t="inlineStr">
        <is>
          <t>Priority</t>
        </is>
      </c>
      <c r="C1" s="6" t="inlineStr">
        <is>
          <t>What to build / fix</t>
        </is>
      </c>
      <c r="D1" s="6" t="inlineStr">
        <is>
          <t>Spec IDs</t>
        </is>
      </c>
    </row>
    <row r="2">
      <c r="A2" s="7" t="n">
        <v>1</v>
      </c>
      <c r="B2" s="7" t="inlineStr">
        <is>
          <t>High</t>
        </is>
      </c>
      <c r="C2" s="7" t="inlineStr">
        <is>
          <t>Barcode scanning for shop owners (camera + scanner) with GTIN → master lookup and add-to-shop</t>
        </is>
      </c>
      <c r="D2" s="7" t="inlineStr">
        <is>
          <t>SI-03, WF-B, T8</t>
        </is>
      </c>
    </row>
    <row r="3">
      <c r="A3" s="7" t="n">
        <v>2</v>
      </c>
      <c r="B3" s="7" t="inlineStr">
        <is>
          <t>High</t>
        </is>
      </c>
      <c r="C3" s="7" t="inlineStr">
        <is>
          <t>Controlled Request New Product: request record, not sellable until approved, no "Create anyway" bypass</t>
        </is>
      </c>
      <c r="D3" s="7" t="inlineStr">
        <is>
          <t>SI-04, PM-12</t>
        </is>
      </c>
    </row>
    <row r="4">
      <c r="A4" s="7" t="n">
        <v>3</v>
      </c>
      <c r="B4" s="7" t="inlineStr">
        <is>
          <t>High</t>
        </is>
      </c>
      <c r="C4" s="7" t="inlineStr">
        <is>
          <t>Customer returns after delivery must restock the shop (shop_products + ledger)</t>
        </is>
      </c>
      <c r="D4" s="7" t="inlineStr">
        <is>
          <t>OR-03, WF-D.7</t>
        </is>
      </c>
    </row>
    <row r="5">
      <c r="A5" s="7" t="n">
        <v>4</v>
      </c>
      <c r="B5" s="7" t="inlineStr">
        <is>
          <t>High</t>
        </is>
      </c>
      <c r="C5" s="7" t="inlineStr">
        <is>
          <t>Stop shop flows writing master MRP / identity (purchase bill creates product with MRP, no history)</t>
        </is>
      </c>
      <c r="D5" s="7" t="inlineStr">
        <is>
          <t>PM-10, PM-16</t>
        </is>
      </c>
    </row>
    <row r="6">
      <c r="A6" s="7" t="n">
        <v>5</v>
      </c>
      <c r="B6" s="7" t="inlineStr">
        <is>
          <t>High</t>
        </is>
      </c>
      <c r="C6" s="7" t="inlineStr">
        <is>
          <t>Admin edit screens: product master fields, brands, subcategories</t>
        </is>
      </c>
      <c r="D6" s="7" t="inlineStr">
        <is>
          <t>PM-03, PM-04, PM-13</t>
        </is>
      </c>
    </row>
    <row r="7">
      <c r="A7" s="7" t="n">
        <v>6</v>
      </c>
      <c r="B7" s="7" t="inlineStr">
        <is>
          <t>Medium</t>
        </is>
      </c>
      <c r="C7" s="7" t="inlineStr">
        <is>
          <t>Add Product form: show brand / pack / GTIN / MRP / image; take stock, threshold, reorder, discount; search by GTIN</t>
        </is>
      </c>
      <c r="D7" s="7" t="inlineStr">
        <is>
          <t>SI-02, WF-A</t>
        </is>
      </c>
    </row>
    <row r="8">
      <c r="A8" s="7" t="n">
        <v>7</v>
      </c>
      <c r="B8" s="7" t="inlineStr">
        <is>
          <t>Medium</t>
        </is>
      </c>
      <c r="C8" s="7" t="inlineStr">
        <is>
          <t>Dedicated Reorder List page and filter</t>
        </is>
      </c>
      <c r="D8" s="7" t="inlineStr">
        <is>
          <t>SI-10, WF-C.7, T15</t>
        </is>
      </c>
    </row>
    <row r="9">
      <c r="A9" s="7" t="n">
        <v>8</v>
      </c>
      <c r="B9" s="7" t="inlineStr">
        <is>
          <t>Medium</t>
        </is>
      </c>
      <c r="C9" s="7" t="inlineStr">
        <is>
          <t>MRP column in shop inventory table; "Low stock" label for customers</t>
        </is>
      </c>
      <c r="D9" s="7" t="inlineStr">
        <is>
          <t>SI-11, CU-01</t>
        </is>
      </c>
    </row>
    <row r="10">
      <c r="A10" s="7" t="n">
        <v>9</v>
      </c>
      <c r="B10" s="7" t="inlineStr">
        <is>
          <t>Medium</t>
        </is>
      </c>
      <c r="C10" s="7" t="inlineStr">
        <is>
          <t>Shop inventory import: thresholds and reorder fields; reject missing GTIN / invalid GST; master-only admin import</t>
        </is>
      </c>
      <c r="D10" s="7" t="inlineStr">
        <is>
          <t>IM-01..03</t>
        </is>
      </c>
    </row>
    <row r="11">
      <c r="A11" s="7" t="n">
        <v>10</v>
      </c>
      <c r="B11" s="7" t="inlineStr">
        <is>
          <t>Medium</t>
        </is>
      </c>
      <c r="C11" s="7" t="inlineStr">
        <is>
          <t>Canonical GTIN-14 storage and use of the duplicate-candidate check</t>
        </is>
      </c>
      <c r="D11" s="7" t="inlineStr">
        <is>
          <t>PM-12</t>
        </is>
      </c>
    </row>
    <row r="12">
      <c r="A12" s="7" t="n">
        <v>11</v>
      </c>
      <c r="B12" s="7" t="inlineStr">
        <is>
          <t>Medium</t>
        </is>
      </c>
      <c r="C12" s="7" t="inlineStr">
        <is>
          <t>Tests: last-unit oversell race, cross-shop stock / alert assertions, /api/mrp 403</t>
        </is>
      </c>
      <c r="D12" s="7" t="inlineStr">
        <is>
          <t>T5, T6, T11-T14</t>
        </is>
      </c>
    </row>
    <row r="13">
      <c r="A13" s="7" t="n">
        <v>12</v>
      </c>
      <c r="B13" s="7" t="inlineStr">
        <is>
          <t>Low</t>
        </is>
      </c>
      <c r="C13" s="7" t="inlineStr">
        <is>
          <t>Columns: shortName, brandCode, currency, taxCategory, imageType, pack / flavour / size / colour; migrated MRP status PENDING</t>
        </is>
      </c>
      <c r="D13" s="7" t="inlineStr">
        <is>
          <t>PM-02..09, PM-11</t>
        </is>
      </c>
    </row>
    <row r="14">
      <c r="A14" s="7" t="n">
        <v>13</v>
      </c>
      <c r="B14" s="7" t="inlineStr">
        <is>
          <t>Low</t>
        </is>
      </c>
      <c r="C14" s="7" t="inlineStr">
        <is>
          <t>Per-GTIN ProductDataProvider + GS1 DataKart client and background sync (after GS1 agreement)</t>
        </is>
      </c>
      <c r="D14" s="7" t="inlineStr">
        <is>
          <t>EX-01, EX-02</t>
        </is>
      </c>
    </row>
    <row r="15">
      <c r="A15" s="7" t="n">
        <v>14</v>
      </c>
      <c r="B15" s="7" t="inlineStr">
        <is>
          <t>Low</t>
        </is>
      </c>
      <c r="C15" s="7" t="inlineStr">
        <is>
          <t>Purchase orders and goods-received notes; stock reservation holds</t>
        </is>
      </c>
      <c r="D15" s="7" t="inlineStr">
        <is>
          <t>SU-01, OR-04</t>
        </is>
      </c>
    </row>
    <row r="16">
      <c r="A16" s="7" t="n">
        <v>15</v>
      </c>
      <c r="B16" s="7" t="inlineStr">
        <is>
          <t>Low</t>
        </is>
      </c>
      <c r="C16" s="7" t="inlineStr">
        <is>
          <t>Paginate shop product list and stock summary; durable job queue</t>
        </is>
      </c>
      <c r="D16" s="7" t="inlineStr">
        <is>
          <t>SC-01</t>
        </is>
      </c>
    </row>
    <row r="17">
      <c r="A17" s="7" t="n">
        <v>16</v>
      </c>
      <c r="B17" s="7" t="inlineStr">
        <is>
          <t>Low</t>
        </is>
      </c>
      <c r="C17" s="7" t="inlineStr">
        <is>
          <t>AI: product image recognition, label OCR, AI categorisation / duplicates</t>
        </is>
      </c>
      <c r="D17" s="7" t="inlineStr">
        <is>
          <t>AI-01</t>
        </is>
      </c>
    </row>
  </sheetData>
  <autoFilter ref="A1:D17"/>
  <conditionalFormatting sqref="B2:B17">
    <cfRule type="cellIs" priority="1" operator="equal" dxfId="0">
      <formula>"DONE"</formula>
    </cfRule>
    <cfRule type="cellIs" priority="2" operator="equal" dxfId="0">
      <formula>"COVERED"</formula>
    </cfRule>
    <cfRule type="cellIs" priority="3" operator="equal" dxfId="1">
      <formula>"PARTIAL"</formula>
    </cfRule>
    <cfRule type="cellIs" priority="4" operator="equal" dxfId="1">
      <formula>"PARTLY"</formula>
    </cfRule>
    <cfRule type="cellIs" priority="5" operator="equal" dxfId="2">
      <formula>"NOT BUILT"</formula>
    </cfRule>
    <cfRule type="cellIs" priority="6" operator="equal" dxfId="2">
      <formula>"NOT COVERED"</formula>
    </cfRule>
    <cfRule type="cellIs" priority="7" operator="equal" dxfId="2">
      <formula>"High"</formula>
    </cfRule>
    <cfRule type="cellIs" priority="8" operator="equal" dxfId="1">
      <formula>"Medium"</formula>
    </cfRule>
    <cfRule type="cellIs" priority="9" operator="equal" dxfId="3">
      <formula>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2026-10-18T13:51:56Z</dcterms:created>
  <dcterms:modified xmlns:dcterms="http://purl.org/dc/terms/" xmlns:xsi="http://www.w3.org/2001/XMLSchema-instance" xsi:type="dcterms:W3CDTF">2026-10-18T13:51:56Z</dcterms:modified>
</cp:coreProperties>
</file>