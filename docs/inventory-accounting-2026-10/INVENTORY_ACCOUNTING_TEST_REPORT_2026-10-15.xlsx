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4"/>
    <sheet sheetId="2" name="Test cases" state="visible" r:id="rId5"/>
    <sheet sheetId="3" name="Defects &amp; fixes" state="visible" r:id="rId6"/>
  </sheets>
  <calcPr calcId="171027"/>
</workbook>
</file>

<file path=xl/sharedStrings.xml><?xml version="1.0" encoding="utf-8"?>
<sst xmlns="http://schemas.openxmlformats.org/spreadsheetml/2006/main" count="1627" uniqueCount="661">
  <si>
    <t>Inventory &amp; Accounting — testing report (2026-10-15)</t>
  </si>
  <si>
    <t>Environment</t>
  </si>
  <si>
    <t>PASS</t>
  </si>
  <si>
    <t>FAIL</t>
  </si>
  <si>
    <t>BLOCKED</t>
  </si>
  <si>
    <t>SKIPPED</t>
  </si>
  <si>
    <t>N/A</t>
  </si>
  <si>
    <t>Total</t>
  </si>
  <si>
    <t>Local (Postgres 16, CI-equivalent)</t>
  </si>
  <si>
    <t>Local production build (next start)</t>
  </si>
  <si>
    <t>test.gokesari.com</t>
  </si>
  <si>
    <t>test.gokesari.com (phone)</t>
  </si>
  <si>
    <t>test.gokesari.com (Android app WebView)</t>
  </si>
  <si>
    <t>gokesari.com</t>
  </si>
  <si>
    <t>GitHub Actions</t>
  </si>
  <si>
    <t>ID</t>
  </si>
  <si>
    <t>Level</t>
  </si>
  <si>
    <t>Test case</t>
  </si>
  <si>
    <t>Covers</t>
  </si>
  <si>
    <t>Result</t>
  </si>
  <si>
    <t>Detail / evidence</t>
  </si>
  <si>
    <t>IT-BILL-CAPTURE-01</t>
  </si>
  <si>
    <t>Integration</t>
  </si>
  <si>
    <t>soft copy: e-invoice JSON › reads, matches by barcode and name, validates, and touches stock only on confirm</t>
  </si>
  <si>
    <t>Parts 4-7</t>
  </si>
  <si>
    <t>tests/integration/bill-capture.test.ts (1116 ms)</t>
  </si>
  <si>
    <t>IT-BILL-CAPTURE-02</t>
  </si>
  <si>
    <t>soft copy: e-invoice JSON › the original file is stored and readable only by its shop</t>
  </si>
  <si>
    <t>tests/integration/bill-capture.test.ts (1050 ms)</t>
  </si>
  <si>
    <t>IT-BILL-CAPTURE-03</t>
  </si>
  <si>
    <t>review &amp; correction screen › flags wrong totals and a bad GSTIN; owner edits fix them; corrections are remembered for the supplier</t>
  </si>
  <si>
    <t>tests/integration/bill-capture.test.ts (1416 ms)</t>
  </si>
  <si>
    <t>IT-BILL-CAPTURE-04</t>
  </si>
  <si>
    <t>review &amp; correction screen › a blank bill can be typed in by hand</t>
  </si>
  <si>
    <t>tests/integration/bill-capture.test.ts (1359 ms)</t>
  </si>
  <si>
    <t>IT-BILL-CAPTURE-05</t>
  </si>
  <si>
    <t>soft copy: Excel bill › finds the item table and maps the lines</t>
  </si>
  <si>
    <t>tests/integration/bill-capture.test.ts (1370 ms)</t>
  </si>
  <si>
    <t>IT-BILL-CAPTURE-06</t>
  </si>
  <si>
    <t>hard copy: photo with a signed e-invoice QR › takes supplier GSTIN, number, date and total from the QR and reads the rest by OCR</t>
  </si>
  <si>
    <t>tests/integration/bill-capture.test.ts (3716 ms)</t>
  </si>
  <si>
    <t>IT-BILL-CAPTURE-07</t>
  </si>
  <si>
    <t>queue and forwarding › the dispatcher reads waiting bills once; an unreadable file fails cleanly</t>
  </si>
  <si>
    <t>tests/integration/bill-capture.test.ts (1296 ms)</t>
  </si>
  <si>
    <t>IT-BILL-CAPTURE-08</t>
  </si>
  <si>
    <t>queue and forwarding › a bill emailed to the shop's private address becomes a capture</t>
  </si>
  <si>
    <t>tests/integration/bill-capture.test.ts (1082 ms)</t>
  </si>
  <si>
    <t>IT-INVENTORY-ACCO-01</t>
  </si>
  <si>
    <t>stock ledger follows every stock change (triggers) › records opening stock of a new listing and keeps ledger = listing count</t>
  </si>
  <si>
    <t>Parts 1-3,6,7</t>
  </si>
  <si>
    <t>tests/integration/inventory-accounting.test.ts (1050 ms)</t>
  </si>
  <si>
    <t>IT-INVENTORY-ACCO-02</t>
  </si>
  <si>
    <t>stock ledger follows every stock change (triggers) › an online order reduces the ledger in the same transaction, a cancellation puts it back</t>
  </si>
  <si>
    <t>tests/integration/inventory-accounting.test.ts (1577 ms)</t>
  </si>
  <si>
    <t>IT-INVENTORY-ACCO-03</t>
  </si>
  <si>
    <t>stock ledger follows every stock change (triggers) › a manual stock edit on the catalogue screen is an adjustment</t>
  </si>
  <si>
    <t>tests/integration/inventory-accounting.test.ts (1509 ms)</t>
  </si>
  <si>
    <t>IT-INVENTORY-ACCO-04</t>
  </si>
  <si>
    <t>purchase confirm → stock, books, ITC (one transaction) › adds stock at cost, posts a balanced voucher and an ITC record</t>
  </si>
  <si>
    <t>tests/integration/inventory-accounting.test.ts (1539 ms)</t>
  </si>
  <si>
    <t>IT-INVENTORY-ACCO-05</t>
  </si>
  <si>
    <t>purchase confirm → stock, books, ITC (one transaction) › charges IGST for a supplier in another state</t>
  </si>
  <si>
    <t>tests/integration/inventory-accounting.test.ts (1339 ms)</t>
  </si>
  <si>
    <t>IT-INVENTORY-ACCO-06</t>
  </si>
  <si>
    <t>purchase confirm → stock, books, ITC (one transaction) › refuses the same supplier + invoice number twice</t>
  </si>
  <si>
    <t>tests/integration/inventory-accounting.test.ts (1079 ms)</t>
  </si>
  <si>
    <t>IT-INVENTORY-ACCO-07</t>
  </si>
  <si>
    <t>purchase confirm → stock, books, ITC (one transaction) › converts bill units: 6 L of a 500 ml listing is 12 packs; fractional kg stays exact in the ledger</t>
  </si>
  <si>
    <t>tests/integration/inventory-accounting.test.ts (818 ms)</t>
  </si>
  <si>
    <t>IT-INVENTORY-ACCO-08</t>
  </si>
  <si>
    <t>purchase confirm → stock, books, ITC (one transaction) › creates a new product from a bill line</t>
  </si>
  <si>
    <t>tests/integration/inventory-accounting.test.ts (913 ms)</t>
  </si>
  <si>
    <t>IT-INVENTORY-ACCO-09</t>
  </si>
  <si>
    <t>post-confirmation correction › posts reversals and the corrected version, re-syncs stock, books and ITC, and logs old → new</t>
  </si>
  <si>
    <t>tests/integration/inventory-accounting.test.ts (1252 ms)</t>
  </si>
  <si>
    <t>IT-INVENTORY-ACCO-10</t>
  </si>
  <si>
    <t>post-confirmation correction › a cancelled bill takes its stock and books back out</t>
  </si>
  <si>
    <t>tests/integration/inventory-accounting.test.ts (1259 ms)</t>
  </si>
  <si>
    <t>IT-INVENTORY-ACCO-11</t>
  </si>
  <si>
    <t>post-confirmation correction › a correction after some stock was sold never drives the count negative</t>
  </si>
  <si>
    <t>tests/integration/inventory-accounting.test.ts (1329 ms)</t>
  </si>
  <si>
    <t>IT-INVENTORY-ACCO-12</t>
  </si>
  <si>
    <t>valuation, write-offs and P&amp;L › FIFO and weighted average value the same stock differently</t>
  </si>
  <si>
    <t>tests/integration/inventory-accounting.test.ts (1086 ms)</t>
  </si>
  <si>
    <t>IT-INVENTORY-ACCO-13</t>
  </si>
  <si>
    <t>valuation, write-offs and P&amp;L › write-off and physical count adjust stock; P&amp;L shows COGS, write-offs and expenses</t>
  </si>
  <si>
    <t>tests/integration/inventory-accounting.test.ts (1084 ms)</t>
  </si>
  <si>
    <t>IT-INVENTORY-ACCO-14</t>
  </si>
  <si>
    <t>valuation, write-offs and P&amp;L › lists batches that are about to expire</t>
  </si>
  <si>
    <t>tests/integration/inventory-accounting.test.ts (952 ms)</t>
  </si>
  <si>
    <t>IT-INVENTORY-ACCO-15</t>
  </si>
  <si>
    <t>sales invoices, payments, ledgers › issues an inter-state invoice with IGST and a numbered series; cancelling reverses stock</t>
  </si>
  <si>
    <t>tests/integration/inventory-accounting.test.ts (1035 ms)</t>
  </si>
  <si>
    <t>IT-INVENTORY-ACCO-16</t>
  </si>
  <si>
    <t>sales invoices, payments, ledgers › supplier payment reduces the payable; cash book and day book show it</t>
  </si>
  <si>
    <t>tests/integration/inventory-accounting.test.ts (1112 ms)</t>
  </si>
  <si>
    <t>IT-INVENTORY-ACCO-17</t>
  </si>
  <si>
    <t>GST portal: import, reconciliation, liability › manual GSTR-2B JSON fallback reconciles bills: matched, mismatch, missing in books, missing on portal</t>
  </si>
  <si>
    <t>tests/integration/inventory-accounting.test.ts (1684 ms)</t>
  </si>
  <si>
    <t>IT-INVENTORY-ACCO-18</t>
  </si>
  <si>
    <t>GST portal: import, reconciliation, liability › API path through the mock GSP: consent + OTP link, then pull GSTR-2B</t>
  </si>
  <si>
    <t>tests/integration/inventory-accounting.test.ts (1159 ms)</t>
  </si>
  <si>
    <t>IT-INVENTORY-ACCO-19</t>
  </si>
  <si>
    <t>GST portal: import, reconciliation, liability › net GST = output − reconciled ITC, per head</t>
  </si>
  <si>
    <t>tests/integration/inventory-accounting.test.ts (1282 ms)</t>
  </si>
  <si>
    <t>IT-INVENTORY-ACCO-20</t>
  </si>
  <si>
    <t>GST portal: import, reconciliation, liability › due-date reminders are sent once</t>
  </si>
  <si>
    <t>tests/integration/inventory-accounting.test.ts (1295 ms)</t>
  </si>
  <si>
    <t>IT-INVENTORY-ACCO-21</t>
  </si>
  <si>
    <t>reports and exports › builds every report and exports Excel, PDF and Tally XML</t>
  </si>
  <si>
    <t>tests/integration/inventory-accounting.test.ts (1265 ms)</t>
  </si>
  <si>
    <t>IT-INVENTORY-ACCO-22</t>
  </si>
  <si>
    <t>isolation between shops › one shop cannot post to or read another shop's listings and bills</t>
  </si>
  <si>
    <t>tests/integration/inventory-accounting.test.ts (1065 ms)</t>
  </si>
  <si>
    <t>IT-MIGRATE-ON-BUI-01</t>
  </si>
  <si>
    <t>migrate-on-build › does nothing unless MIGRATE_ON_BUILD is true</t>
  </si>
  <si>
    <t>Part 7 / deploy</t>
  </si>
  <si>
    <t>tests/integration/migrate-on-build.test.ts (1876 ms)</t>
  </si>
  <si>
    <t>IT-MIGRATE-ON-BUI-02</t>
  </si>
  <si>
    <t>migrate-on-build › stops the build when switched on without a DATABASE_URL</t>
  </si>
  <si>
    <t>tests/integration/migrate-on-build.test.ts (562 ms)</t>
  </si>
  <si>
    <t>IT-MIGRATE-ON-BUI-03</t>
  </si>
  <si>
    <t>migrate-on-build › migrates an empty database, then is a no-op on the next build</t>
  </si>
  <si>
    <t>tests/integration/migrate-on-build.test.ts (5128 ms)</t>
  </si>
  <si>
    <t>IT-MIGRATE-ON-BUI-04</t>
  </si>
  <si>
    <t>migrate-on-build › two migrations started at once (the deploy build and the test-db workflow) both succeed, applying each migration once</t>
  </si>
  <si>
    <t>tests/integration/migrate-on-build.test.ts (4973 ms)</t>
  </si>
  <si>
    <t>IT-MIGRATE-ON-BUI-05</t>
  </si>
  <si>
    <t>migrate-on-build › brings a database on 0055 up to date: 0056, 0057, 0058, 0059, 0060 and every later migration</t>
  </si>
  <si>
    <t>tests/integration/migrate-on-build.test.ts (2108 ms)</t>
  </si>
  <si>
    <t>IT-MIGRATE-ON-BUI-06</t>
  </si>
  <si>
    <t>migrate-on-build › a failed migration stops the build and leaves the database as it was</t>
  </si>
  <si>
    <t>tests/integration/migrate-on-build.test.ts (896 ms)</t>
  </si>
  <si>
    <t>UT-ACCOUNTS-CORE-01</t>
  </si>
  <si>
    <t>Unit</t>
  </si>
  <si>
    <t>GST maths › splits CGST/SGST within a state and IGST across states</t>
  </si>
  <si>
    <t>Parts 1-3,6</t>
  </si>
  <si>
    <t>tests/unit/accounts-core.test.ts (3 ms)</t>
  </si>
  <si>
    <t>UT-ACCOUNTS-CORE-02</t>
  </si>
  <si>
    <t>GST maths › handles fractional quantities, discounts and rounds the bill to the rupee</t>
  </si>
  <si>
    <t>tests/unit/accounts-core.test.ts (1 ms)</t>
  </si>
  <si>
    <t>UT-ACCOUNTS-CORE-03</t>
  </si>
  <si>
    <t>GST maths › place of supply and financial year</t>
  </si>
  <si>
    <t>UT-ACCOUNTS-CORE-04</t>
  </si>
  <si>
    <t>units › converts weight and volume exactly, counts as sellable units</t>
  </si>
  <si>
    <t>UT-ACCOUNTS-CORE-05</t>
  </si>
  <si>
    <t>units › asks for a conversion when units don't convert, and uses a saved one</t>
  </si>
  <si>
    <t>tests/unit/accounts-core.test.ts (0 ms)</t>
  </si>
  <si>
    <t>UT-ACCOUNTS-CORE-06</t>
  </si>
  <si>
    <t>units › reads Hindi / Marathi unit words</t>
  </si>
  <si>
    <t>UT-ACCOUNTS-CORE-07</t>
  </si>
  <si>
    <t>valuation › FIFO takes the oldest cost first</t>
  </si>
  <si>
    <t>UT-ACCOUNTS-CORE-08</t>
  </si>
  <si>
    <t>valuation › weighted average uses the running average</t>
  </si>
  <si>
    <t>UT-ACCOUNTS-CORE-09</t>
  </si>
  <si>
    <t>valuation › a reversal takes back exactly the reversed purchase</t>
  </si>
  <si>
    <t>UT-ACCOUNTS-CORE-10</t>
  </si>
  <si>
    <t>valuation › uncosted opening stock is valued at the fallback cost and reported</t>
  </si>
  <si>
    <t>UT-ACCOUNTS-CORE-11</t>
  </si>
  <si>
    <t>valuation › batches: unbatched sales come out of the earliest expiry first</t>
  </si>
  <si>
    <t>tests/unit/accounts-core.test.ts (9 ms)</t>
  </si>
  <si>
    <t>UT-ACCOUNTS-CORE-12</t>
  </si>
  <si>
    <t>GST set-off (s.49 / rule 88A) › uses IGST credit first, never CGST credit for SGST</t>
  </si>
  <si>
    <t>UT-ACCOUNTS-CORE-13</t>
  </si>
  <si>
    <t>GST set-off (s.49 / rule 88A) › leaves the least cash: IGST credit goes where CGST/SGST credit cannot reach</t>
  </si>
  <si>
    <t>UT-ACCOUNTS-CORE-14</t>
  </si>
  <si>
    <t>GST set-off (s.49 / rule 88A) › carries unused credit forward</t>
  </si>
  <si>
    <t>UT-ACCOUNTS-CORE-15</t>
  </si>
  <si>
    <t>GST due dates › monthly: GSTR-1 on the 11th, GSTR-3B on the 20th</t>
  </si>
  <si>
    <t>UT-ACCOUNTS-CORE-16</t>
  </si>
  <si>
    <t>GST due dates › quarterly (QRMP): PMT-06 in months 1–2, GSTR-1 on the 13th and 3B on the 22nd/24th after the quarter</t>
  </si>
  <si>
    <t>UT-ACCOUNTS-CORE-17</t>
  </si>
  <si>
    <t>reconciliation › flags matched, mismatch, missing in books and missing on portal</t>
  </si>
  <si>
    <t>UT-ACCOUNTS-CORE-18</t>
  </si>
  <si>
    <t>reconciliation › pairs a mistyped number when supplier, date and amounts agree</t>
  </si>
  <si>
    <t>tests/unit/accounts-core.test.ts (2 ms)</t>
  </si>
  <si>
    <t>UT-ACCOUNTS-CORE-19</t>
  </si>
  <si>
    <t>reconciliation › normalises invoice numbers</t>
  </si>
  <si>
    <t>UT-ACCOUNTS-CORE-20</t>
  </si>
  <si>
    <t>product matching text › scores the same product high and a different size low</t>
  </si>
  <si>
    <t>UT-ACCOUNTS-CORE-21</t>
  </si>
  <si>
    <t>product matching text › keys</t>
  </si>
  <si>
    <t>UT-ACCOUNTS-CORE-22</t>
  </si>
  <si>
    <t>local bill text reading › finds GSTIN, number, date, totals and item rows</t>
  </si>
  <si>
    <t>tests/unit/accounts-core.test.ts (6 ms)</t>
  </si>
  <si>
    <t>UT-ACCOUNTS-CORE-23</t>
  </si>
  <si>
    <t>local bill text reading › repairs OCR confusions in a GSTIN and ignores the shop's own GSTIN</t>
  </si>
  <si>
    <t>UT-ACCOUNTS-CORE-24</t>
  </si>
  <si>
    <t>local bill text reading › dates</t>
  </si>
  <si>
    <t>UT-ACCOUNTS-CORE-25</t>
  </si>
  <si>
    <t>local bill text reading › spreadsheet item tables</t>
  </si>
  <si>
    <t>UT-ACCOUNTS-CORE-26</t>
  </si>
  <si>
    <t>review checks › a correct bill passes</t>
  </si>
  <si>
    <t>UT-ACCOUNTS-CORE-27</t>
  </si>
  <si>
    <t>review checks › catches totals, GST maths, GSTIN, unmapped lines, future dates and low confidence</t>
  </si>
  <si>
    <t>UT-ACCOUNTS-CORE-28</t>
  </si>
  <si>
    <t>review checks › checks the bill against the signed e-invoice QR</t>
  </si>
  <si>
    <t>UT-ACCOUNTS-CORE-29</t>
  </si>
  <si>
    <t>review checks › draft ⇄ purchase round trip keeps every value</t>
  </si>
  <si>
    <t>UT-ACCOUNTS-CORE-30</t>
  </si>
  <si>
    <t>module tile board › has trilingual labels and every tile opens a page</t>
  </si>
  <si>
    <t>UT-ACCOUNTS-DOCUM-01</t>
  </si>
  <si>
    <t>detectDocument › finds the corners of a rotated bill within 3% of the true corners</t>
  </si>
  <si>
    <t>Part 5</t>
  </si>
  <si>
    <t>tests/unit/accounts-document-scan.test.ts (232 ms)</t>
  </si>
  <si>
    <t>UT-ACCOUNTS-DOCUM-02</t>
  </si>
  <si>
    <t>detectDocument › finds a perspective-skewed bill (photo taken at an angle)</t>
  </si>
  <si>
    <t>tests/unit/accounts-document-scan.test.ts (169 ms)</t>
  </si>
  <si>
    <t>UT-ACCOUNTS-DOCUM-03</t>
  </si>
  <si>
    <t>detectDocument › handles a bill rotated close to 45 degrees</t>
  </si>
  <si>
    <t>tests/unit/accounts-document-scan.test.ts (130 ms)</t>
  </si>
  <si>
    <t>UT-ACCOUNTS-DOCUM-04</t>
  </si>
  <si>
    <t>detectDocument › returns null when there is no document (plain table) or it is tiny</t>
  </si>
  <si>
    <t>tests/unit/accounts-document-scan.test.ts (66 ms)</t>
  </si>
  <si>
    <t>UT-ACCOUNTS-DOCUM-05</t>
  </si>
  <si>
    <t>detectDocument › maps corners back to source coordinates for large photos</t>
  </si>
  <si>
    <t>tests/unit/accounts-document-scan.test.ts (220 ms)</t>
  </si>
  <si>
    <t>UT-ACCOUNTS-DOCUM-06</t>
  </si>
  <si>
    <t>orderQuad › orders shuffled corners as TL, TR, BR, BL</t>
  </si>
  <si>
    <t>tests/unit/accounts-document-scan.test.ts (1 ms)</t>
  </si>
  <si>
    <t>UT-ACCOUNTS-DOCUM-07</t>
  </si>
  <si>
    <t>homography › maps each source corner onto its destination corner</t>
  </si>
  <si>
    <t>tests/unit/accounts-document-scan.test.ts (3 ms)</t>
  </si>
  <si>
    <t>UT-ACCOUNTS-DOCUM-08</t>
  </si>
  <si>
    <t>warpPerspective › sizes the output from the quad's edge lengths, or as asked</t>
  </si>
  <si>
    <t>tests/unit/accounts-document-scan.test.ts (17 ms)</t>
  </si>
  <si>
    <t>UT-ACCOUNTS-DOCUM-09</t>
  </si>
  <si>
    <t>warpPerspective › caps the long side at 2000 px</t>
  </si>
  <si>
    <t>tests/unit/accounts-document-scan.test.ts (49 ms)</t>
  </si>
  <si>
    <t>UT-ACCOUNTS-DOCUM-10</t>
  </si>
  <si>
    <t>warpPerspective › straightens the bill so only paper remains — no table at the edges</t>
  </si>
  <si>
    <t>tests/unit/accounts-document-scan.test.ts (27 ms)</t>
  </si>
  <si>
    <t>UT-ACCOUNTS-DOCUM-11</t>
  </si>
  <si>
    <t>enhance › "bw" produces pure black and white only, with the print black</t>
  </si>
  <si>
    <t>tests/unit/accounts-document-scan.test.ts (9484 ms)</t>
  </si>
  <si>
    <t>UT-ACCOUNTS-DOCUM-12</t>
  </si>
  <si>
    <t>enhance › "gray" is neutral and "color" stretches paper to near white</t>
  </si>
  <si>
    <t>tests/unit/accounts-document-scan.test.ts (55 ms)</t>
  </si>
  <si>
    <t>UT-ACCOUNTS-DOCUM-13</t>
  </si>
  <si>
    <t>estimateSharpness › scores a sharp photo higher than a blurred one</t>
  </si>
  <si>
    <t>tests/unit/accounts-document-scan.test.ts (283 ms)</t>
  </si>
  <si>
    <t>UT-ACCOUNTS-DOCUM-14</t>
  </si>
  <si>
    <t>downscale › limits the long side and reports the scale</t>
  </si>
  <si>
    <t>tests/unit/accounts-document-scan.test.ts (13 ms)</t>
  </si>
  <si>
    <t>UT-ACCOUNTS-EINVO-01</t>
  </si>
  <si>
    <t>parseEinvoiceJson › reads a v1.1 invoice into paise, basis points and ISO dates</t>
  </si>
  <si>
    <t>Part 4</t>
  </si>
  <si>
    <t>tests/unit/accounts-einvoice-parse.test.ts (7 ms)</t>
  </si>
  <si>
    <t>UT-ACCOUNTS-EINVO-02</t>
  </si>
  <si>
    <t>parseEinvoiceJson › reads the IRP response by decoding SignedInvoice</t>
  </si>
  <si>
    <t>tests/unit/accounts-einvoice-parse.test.ts (2 ms)</t>
  </si>
  <si>
    <t>UT-ACCOUNTS-EINVO-03</t>
  </si>
  <si>
    <t>parseEinvoiceJson › reads credit notes, unregistered buyers and missing ValDtls</t>
  </si>
  <si>
    <t>tests/unit/accounts-einvoice-parse.test.ts (1 ms)</t>
  </si>
  <si>
    <t>UT-ACCOUNTS-EINVO-04</t>
  </si>
  <si>
    <t>parseEinvoiceJson › refuses what is not an e-invoice</t>
  </si>
  <si>
    <t>UT-ACCOUNTS-EINVO-05</t>
  </si>
  <si>
    <t>decodeSignedQr › decodes the signed QR payload</t>
  </si>
  <si>
    <t>UT-ACCOUNTS-EINVO-06</t>
  </si>
  <si>
    <t>decodeSignedQr › handles base64url without padding and surrounding whitespace</t>
  </si>
  <si>
    <t>tests/unit/accounts-einvoice-parse.test.ts (3 ms)</t>
  </si>
  <si>
    <t>UT-ACCOUNTS-EINVO-07</t>
  </si>
  <si>
    <t>decodeSignedQr › returns null for anything else</t>
  </si>
  <si>
    <t>UT-ACCOUNTS-EINVO-08</t>
  </si>
  <si>
    <t>verifySignedQr › accepts the signer's key and rejects tampering, other keys and garbage</t>
  </si>
  <si>
    <t>tests/unit/accounts-einvoice-parse.test.ts (16 ms)</t>
  </si>
  <si>
    <t>UT-ACCOUNTS-PORTA-01</t>
  </si>
  <si>
    <t>rupeesToPaiseSafe › reads numbers and Indian-formatted text without float drift</t>
  </si>
  <si>
    <t>Part 3</t>
  </si>
  <si>
    <t>tests/unit/accounts-portal-parsers.test.ts (2 ms)</t>
  </si>
  <si>
    <t>UT-ACCOUNTS-PORTA-02</t>
  </si>
  <si>
    <t>rupeesToPaiseSafe › gives 0 for garbage</t>
  </si>
  <si>
    <t>tests/unit/accounts-portal-parsers.test.ts (1 ms)</t>
  </si>
  <si>
    <t>UT-ACCOUNTS-PORTA-03</t>
  </si>
  <si>
    <t>portalDate › reads the portal's and Excel's date forms</t>
  </si>
  <si>
    <t>UT-ACCOUNTS-PORTA-04</t>
  </si>
  <si>
    <t>parsePortalJson — GSTR-2B › detects the return, the shop's GSTIN and the period</t>
  </si>
  <si>
    <t>tests/unit/accounts-portal-parsers.test.ts (0 ms)</t>
  </si>
  <si>
    <t>UT-ACCOUNTS-PORTA-05</t>
  </si>
  <si>
    <t>parsePortalJson — GSTR-2B › reads B2B invoices with invoice-level amounts and the rate breakup</t>
  </si>
  <si>
    <t>UT-ACCOUNTS-PORTA-06</t>
  </si>
  <si>
    <t>parsePortalJson — GSTR-2B › sums invoice amounts from items when the invoice has none</t>
  </si>
  <si>
    <t>UT-ACCOUNTS-PORTA-07</t>
  </si>
  <si>
    <t>parsePortalJson — GSTR-2B › reads amendments, credit notes and imports</t>
  </si>
  <si>
    <t>UT-ACCOUNTS-PORTA-08</t>
  </si>
  <si>
    <t>parsePortalJson — GSTR-2B › warns about sections it does not read</t>
  </si>
  <si>
    <t>UT-ACCOUNTS-PORTA-09</t>
  </si>
  <si>
    <t>parsePortalJson — GSTR-2B › accepts the data content without the wrapper</t>
  </si>
  <si>
    <t>UT-ACCOUNTS-PORTA-10</t>
  </si>
  <si>
    <t>parsePortalJson — GSTR-2B › reads a debit note's type</t>
  </si>
  <si>
    <t>UT-ACCOUNTS-PORTA-11</t>
  </si>
  <si>
    <t>parsePortalJson — GSTR-2A › detects 2A and sums items per rate</t>
  </si>
  <si>
    <t>UT-ACCOUNTS-PORTA-12</t>
  </si>
  <si>
    <t>parsePortalJson — GSTR-1 › treats the counterparty as the buyer and summarises B2C</t>
  </si>
  <si>
    <t>UT-ACCOUNTS-PORTA-13</t>
  </si>
  <si>
    <t>parsePortalJson — GSTR-1 › prefers the hint, and says when the file looks different</t>
  </si>
  <si>
    <t>UT-ACCOUNTS-PORTA-14</t>
  </si>
  <si>
    <t>parsePortalJson — garbage › refuses non-JSON and non-returns with a clear message</t>
  </si>
  <si>
    <t>UT-ACCOUNTS-PORTA-15</t>
  </si>
  <si>
    <t>parsePortalExcel — GSTR-2B workbook › finds the merged header, merges rate rows and reads metadata</t>
  </si>
  <si>
    <t>tests/unit/accounts-portal-parsers.test.ts (78 ms)</t>
  </si>
  <si>
    <t>UT-ACCOUNTS-PORTA-16</t>
  </si>
  <si>
    <t>parsePortalExcel — GSTR-2B workbook › reads a plain sheet with the column titles on row 1</t>
  </si>
  <si>
    <t>tests/unit/accounts-portal-parsers.test.ts (15 ms)</t>
  </si>
  <si>
    <t>UT-ACCOUNTS-PORTA-17</t>
  </si>
  <si>
    <t>parsePortalExcel — GSTR-2B workbook › refuses a workbook without invoice columns, and non-Excel bytes</t>
  </si>
  <si>
    <t>tests/unit/accounts-portal-parsers.test.ts (13 ms)</t>
  </si>
  <si>
    <t>UT-ACCOUNTS-QR-DE-01</t>
  </si>
  <si>
    <t>findQrCodes › finds the e-invoice QR (top-right) and a second QR on the page</t>
  </si>
  <si>
    <t>tests/unit/accounts-qr-decode.test.ts (2674 ms)</t>
  </si>
  <si>
    <t>UT-ACCOUNTS-QR-DE-02</t>
  </si>
  <si>
    <t>findQrCodes › finds it in a greyed, low-contrast JPEG photo</t>
  </si>
  <si>
    <t>tests/unit/accounts-qr-decode.test.ts (2069 ms)</t>
  </si>
  <si>
    <t>UT-ACCOUNTS-QR-DE-03</t>
  </si>
  <si>
    <t>findQrCodes › returns [] for a page without QR codes and for non-images</t>
  </si>
  <si>
    <t>tests/unit/accounts-qr-decode.test.ts (256 ms)</t>
  </si>
  <si>
    <t>UT-ACCOUNTS-QR-DE-04</t>
  </si>
  <si>
    <t>findQrCodesInPdf › finds a QR drawn from an image in the PDF</t>
  </si>
  <si>
    <t>tests/unit/accounts-qr-decode.test.ts (598 ms)</t>
  </si>
  <si>
    <t>UT-ACCOUNTS-QR-DE-05</t>
  </si>
  <si>
    <t>findQrCodesInPdf › returns [] for garbage instead of throwing</t>
  </si>
  <si>
    <t>tests/unit/accounts-qr-decode.test.ts (7 ms)</t>
  </si>
  <si>
    <t>UT-TILE-BOARD-01</t>
  </si>
  <si>
    <t>parseLang › accepts the three languages</t>
  </si>
  <si>
    <t>UI</t>
  </si>
  <si>
    <t>tests/unit/tile-board.test.ts (2 ms)</t>
  </si>
  <si>
    <t>UT-TILE-BOARD-02</t>
  </si>
  <si>
    <t>parseLang › reads case, whitespace and region tags leniently</t>
  </si>
  <si>
    <t>UT-TILE-BOARD-03</t>
  </si>
  <si>
    <t>parseLang › falls back to English for anything else</t>
  </si>
  <si>
    <t>tests/unit/tile-board.test.ts (0 ms)</t>
  </si>
  <si>
    <t>UT-TILE-BOARD-04</t>
  </si>
  <si>
    <t>parseLang › picks the language's text, English when a translation is blank</t>
  </si>
  <si>
    <t>UT-TILE-BOARD-05</t>
  </si>
  <si>
    <t>formatCount › shows small counts as they are</t>
  </si>
  <si>
    <t>UT-TILE-BOARD-06</t>
  </si>
  <si>
    <t>formatCount › shortens thousands, lakhs and crores without rounding up</t>
  </si>
  <si>
    <t>UT-TILE-BOARD-07</t>
  </si>
  <si>
    <t>formatCount › shows no badge for a figure that was not read</t>
  </si>
  <si>
    <t>UT-TILE-BOARD-08</t>
  </si>
  <si>
    <t>formatCount › hides zero unless asked to show it</t>
  </si>
  <si>
    <t>UT-TILE-BOARD-09</t>
  </si>
  <si>
    <t>formatCount › formats rupees from paise</t>
  </si>
  <si>
    <t>tests/unit/tile-board.test.ts (17 ms)</t>
  </si>
  <si>
    <t>UT-TILE-BOARD-10</t>
  </si>
  <si>
    <t>resolveHref › fills placeholders and URL-encodes them</t>
  </si>
  <si>
    <t>tests/unit/tile-board.test.ts (1 ms)</t>
  </si>
  <si>
    <t>UT-TILE-BOARD-11</t>
  </si>
  <si>
    <t>resolveHref › uses the fallback when a value is missing or empty</t>
  </si>
  <si>
    <t>UT-TILE-BOARD-12</t>
  </si>
  <si>
    <t>resolveHref › returns null when there is no value and no fallback</t>
  </si>
  <si>
    <t>UT-TILE-BOARD-13</t>
  </si>
  <si>
    <t>resolveHref › leaves links without placeholders alone</t>
  </si>
  <si>
    <t>UT-TILE-BOARD-14</t>
  </si>
  <si>
    <t>resolveHref › hides an item whose link cannot be resolved</t>
  </si>
  <si>
    <t>UT-TILE-BOARD-15</t>
  </si>
  <si>
    <t>permission filtering › shows an admin every admin entry</t>
  </si>
  <si>
    <t>tests/unit/tile-board.test.ts (3 ms)</t>
  </si>
  <si>
    <t>UT-TILE-BOARD-16</t>
  </si>
  <si>
    <t>permission filtering › hides admin-only entries from an operator</t>
  </si>
  <si>
    <t>UT-TILE-BOARD-17</t>
  </si>
  <si>
    <t>permission filtering › drops a whole tile when nothing in it is permitted</t>
  </si>
  <si>
    <t>UT-TILE-BOARD-18</t>
  </si>
  <si>
    <t>permission filtering › keeps the shop owner's finance, marketing and analytics only for a shop owner</t>
  </si>
  <si>
    <t>UT-TILE-BOARD-19</t>
  </si>
  <si>
    <t>permission filtering › shows a customer all six tiles and every submenu</t>
  </si>
  <si>
    <t>UT-TILE-BOARD-20</t>
  </si>
  <si>
    <t>permission filtering › treats a list of permissions as any-of</t>
  </si>
  <si>
    <t>UT-TILE-BOARD-21</t>
  </si>
  <si>
    <t>permission filtering › never offers an operator a page that redirects operators home</t>
  </si>
  <si>
    <t>tests/unit/tile-board.test.ts (4 ms)</t>
  </si>
  <si>
    <t>UT-TILE-BOARD-22</t>
  </si>
  <si>
    <t>menu definitions › match the approved menu counts</t>
  </si>
  <si>
    <t>UT-TILE-BOARD-23</t>
  </si>
  <si>
    <t>menu definitions › keep every group to at most seven entries on the board (Hick's law)</t>
  </si>
  <si>
    <t>UT-TILE-BOARD-24</t>
  </si>
  <si>
    <t>menu definitions › label every entry in all three languages</t>
  </si>
  <si>
    <t>tests/unit/tile-board.test.ts (25 ms)</t>
  </si>
  <si>
    <t>UT-TILE-BOARD-25</t>
  </si>
  <si>
    <t>menu definitions › use only known icons and count keys</t>
  </si>
  <si>
    <t>tests/unit/tile-board.test.ts (8 ms)</t>
  </si>
  <si>
    <t>UT-TILE-BOARD-26</t>
  </si>
  <si>
    <t>menu definitions › give each entry in a tile a distinct key</t>
  </si>
  <si>
    <t>UT-TILE-BOARD-27</t>
  </si>
  <si>
    <t>one clear path › keeps every destination of the old role menus within two clicks of the board</t>
  </si>
  <si>
    <t>UT-TILE-BOARD-28</t>
  </si>
  <si>
    <t>one clear path › gives every old console and dashboard section its own page, reachable from a board</t>
  </si>
  <si>
    <t>UT-TILE-BOARD-29</t>
  </si>
  <si>
    <t>one clear path › opens hub tiles on their menu page and page tiles on their own page</t>
  </si>
  <si>
    <t>UT-TILE-BOARD-30</t>
  </si>
  <si>
    <t>one clear path › never shows an operator an admin-only page inside a menu page either</t>
  </si>
  <si>
    <t>UT-TILE-BOARD-31</t>
  </si>
  <si>
    <t>list tabs and paging › count the same statuses as the board badges</t>
  </si>
  <si>
    <t>UT-TILE-BOARD-32</t>
  </si>
  <si>
    <t>list tabs and paging › read a tab leniently</t>
  </si>
  <si>
    <t>UT-TILE-BOARD-33</t>
  </si>
  <si>
    <t>list tabs and paging › page through a list, clamping a page out of range</t>
  </si>
  <si>
    <t>UT-TILE-BOARD-34</t>
  </si>
  <si>
    <t>product wording › never prices a pack per millilitre or gram</t>
  </si>
  <si>
    <t>UT-TILE-BOARD-35</t>
  </si>
  <si>
    <t>product wording › picks a category picture for a product with no photo</t>
  </si>
  <si>
    <t>UT-TILE-BOARD-36</t>
  </si>
  <si>
    <t>board links › are all internal paths</t>
  </si>
  <si>
    <t>tests/unit/tile-board.test.ts (5 ms)</t>
  </si>
  <si>
    <t>UT-TILE-BOARD-37</t>
  </si>
  <si>
    <t>board links › each point at a page that exists under src/app</t>
  </si>
  <si>
    <t>UT-TILE-BOARD-38</t>
  </si>
  <si>
    <t>board links › each #anchor exists as an id somewhere in the source</t>
  </si>
  <si>
    <t>tests/unit/tile-board.test.ts (138 ms)</t>
  </si>
  <si>
    <t>UT-TILE-BOARD-39</t>
  </si>
  <si>
    <t>board links › detects a link to a page that does not exist</t>
  </si>
  <si>
    <t>E2E-LOCAL-01</t>
  </si>
  <si>
    <t>E2E</t>
  </si>
  <si>
    <t>tile board fits one screen and every tile opens its page [chromium]</t>
  </si>
  <si>
    <t>tests/e2e/inventory-accounting.spec.ts</t>
  </si>
  <si>
    <t>E2E-LOCAL-02</t>
  </si>
  <si>
    <t>soft copy: e-invoice upload → review → confirm adds stock; correction re-syncs with history [chromium]</t>
  </si>
  <si>
    <t>E2E-LOCAL-03</t>
  </si>
  <si>
    <t>hard copy: scan a paper bill with the camera input, several pages, then review [chromium]</t>
  </si>
  <si>
    <t>E2E-LOCAL-04</t>
  </si>
  <si>
    <t>GST: GSTR-2B JSON upload (manual fallback) → reconciliation → liability [chromium]</t>
  </si>
  <si>
    <t>E2E-LOCAL-05</t>
  </si>
  <si>
    <t>reports render and export to Excel, PDF and Tally XML [chromium]</t>
  </si>
  <si>
    <t>E2E-LOCAL-06</t>
  </si>
  <si>
    <t>another shop owner cannot open this shop's books [chromium]</t>
  </si>
  <si>
    <t>E2E-LOCAL-07</t>
  </si>
  <si>
    <t>tile board fits one screen and every tile opens its page [mobile]</t>
  </si>
  <si>
    <t>E2E-LOCAL-08</t>
  </si>
  <si>
    <t>soft copy: e-invoice upload → review → confirm adds stock; correction re-syncs with history [mobile]</t>
  </si>
  <si>
    <t>E2E-LOCAL-09</t>
  </si>
  <si>
    <t>hard copy: scan a paper bill with the camera input, several pages, then review [mobile]</t>
  </si>
  <si>
    <t>E2E-LOCAL-10</t>
  </si>
  <si>
    <t>GST: GSTR-2B JSON upload (manual fallback) → reconciliation → liability [mobile]</t>
  </si>
  <si>
    <t>E2E-LOCAL-11</t>
  </si>
  <si>
    <t>reports render and export to Excel, PDF and Tally XML [mobile]</t>
  </si>
  <si>
    <t>E2E-LOCAL-12</t>
  </si>
  <si>
    <t>another shop owner cannot open this shop's books [mobile]</t>
  </si>
  <si>
    <t>TS-BOARD-desktop</t>
  </si>
  <si>
    <t>Functional</t>
  </si>
  <si>
    <t>Tile Board loads on desktop: 12 tiles, headline figures, CA note, one screen</t>
  </si>
  <si>
    <t>UI / Part 7 (one screen)</t>
  </si>
  <si>
    <t>tiles=12, last tile bottom 422px of 900px viewport</t>
  </si>
  <si>
    <t>TS-BOARD-phone</t>
  </si>
  <si>
    <t>Tile Board loads on phone: 12 tiles, headline figures, CA note, one screen</t>
  </si>
  <si>
    <t>tiles=12, last tile bottom 894px of 915px viewport</t>
  </si>
  <si>
    <t>TS-BOARD-android-app</t>
  </si>
  <si>
    <t>Tile Board loads on android-app: 12 tiles, headline figures, CA note, one screen</t>
  </si>
  <si>
    <t>tiles=12, last tile bottom 894px of 780px viewport</t>
  </si>
  <si>
    <t>TS-NAV</t>
  </si>
  <si>
    <t>Every module page opens (200) for the owner</t>
  </si>
  <si>
    <t>13 pages 200</t>
  </si>
  <si>
    <t>TS-SOFT-01</t>
  </si>
  <si>
    <t>Soft copy: e-invoice JSON uploaded on the capture screen is read (trusted source) and opens for review</t>
  </si>
  <si>
    <t>Part 4 / 6</t>
  </si>
  <si>
    <t>capture 33e0263e-3f6f-4c0a-beb4-7c04f206a423; engine e-invoice JSON; stock unchanged before confirm (25)</t>
  </si>
  <si>
    <t>TS-SOFT-02</t>
  </si>
  <si>
    <t>Review: map the line to the shop's product, all checks pass, Confirm adds 12 to stock in one transaction</t>
  </si>
  <si>
    <t>purchase 4fdfae38-86c7-464b-9cb2-01c49578c462: ₹672 (CGST ₹36 + SGST ₹36), stock +12, ITC pending reconciliation</t>
  </si>
  <si>
    <t>TS-SOFT-03</t>
  </si>
  <si>
    <t>Duplicate check: the same supplier + invoice number is flagged and cannot be confirmed</t>
  </si>
  <si>
    <t>DUPLICATE error shown; confirm refused 422; capture discarded</t>
  </si>
  <si>
    <t>TS-SOFT-04</t>
  </si>
  <si>
    <t>Validation: wrong GSTIN check digit and wrong grand total are flagged</t>
  </si>
  <si>
    <t>issues: GSTIN_FORMAT, TOTAL_GRAND</t>
  </si>
  <si>
    <t>TS-CORR-01</t>
  </si>
  <si>
    <t>Post-confirmation correction: reopen, change qty 12 → 10 with a reason; reversing + corrected entries; history old → new</t>
  </si>
  <si>
    <t>Part 6</t>
  </si>
  <si>
    <t>version 2, ₹560, stock −2, REVERSAL row, ITC re-issued, history shows old → new with reason</t>
  </si>
  <si>
    <t>TS-HARD-phone</t>
  </si>
  <si>
    <t>Hard copy on phone: camera scan (2 pages, crop/de-skew/enhance on the phone) → read in background → review screen</t>
  </si>
  <si>
    <t>Part 5 / 6</t>
  </si>
  <si>
    <t>pages=2, engine=MANUAL, header fields read=0/3 (supplier "", no ""), notes: Page 1 could not be read on this server — type the details from the photo. | Page 2 could not be read on this server — type the details from the photo. | Nothing could be read automatically. Type the details from the bill shown on the left.</t>
  </si>
  <si>
    <t>TS-HARD-android-app</t>
  </si>
  <si>
    <t>Hard copy on android-app: camera scan (2 pages, crop/de-skew/enhance on the phone) → read in background → review screen</t>
  </si>
  <si>
    <t>TS-HARD-TYPE</t>
  </si>
  <si>
    <t>Paper bill typed by hand (no photo) → confirm → stock updated</t>
  </si>
  <si>
    <t>unregistered supplier, batch + expiry recorded, stock +3</t>
  </si>
  <si>
    <t>TS-GST-LINK</t>
  </si>
  <si>
    <t>GSTIN link: consent + username + OTP (GSP sandbox on the test site), token stored encrypted</t>
  </si>
  <si>
    <t>Server setting: INTEGRATION_ENCRYPTION_KEY is set on test.gokesari.com but is not base64 of 32 bytes (the site's own check /api/shops/{id}/integration reports encryption: false), so storing the portal token is refused (500). Earlier run without the key: refused with 'the server has no INTEGRATION_ENCRYPTION_KEY'. The link/OTP/encrypted-token flow passes in the integration tests (mock GSP). Owner action: set a value from `openssl rand -base64 32` and redeploy.</t>
  </si>
  <si>
    <t>TS-GST-PULL</t>
  </si>
  <si>
    <t>GSTR-2B pulled through the GSP adapter → reconciliation (matched / mismatch / missing in books / missing on portal)</t>
  </si>
  <si>
    <t>Needs the GSTIN link (TS-GST-LINK, blocked by the server key). Pull + reconciliation through the mock GSP pass in the integration tests.</t>
  </si>
  <si>
    <t>TS-GST-UPLOAD</t>
  </si>
  <si>
    <t>Manual fallback: GSTR-2B JSON downloaded from gst.gov.in uploaded on the GST page → reconciliation</t>
  </si>
  <si>
    <t>recon {"MATCHED":1,"MISSING_IN_BOOKS":2} (E2E/MV9P5S14/1 matched after the correction to ₹560)</t>
  </si>
  <si>
    <t>TS-GST-LIAB</t>
  </si>
  <si>
    <t>Net GST = output − reconciled ITC per head, with due dates and the CA note</t>
  </si>
  <si>
    <t>output {"cgst":0,"sgst":0,"igst":0,"cess":0}, eligible ITC {"cgst":3000,"sgst":3000,"igst":0,"cess":0}, cash {"cgst":0,"sgst":0,"igst":0,"cess":0}, pending ITC {"cgst":0,"sgst":0,"igst":0,"cess":0}; due GSTR1 2026-11-11, GSTR3B 2026-11-20</t>
  </si>
  <si>
    <t>TS-REP-pnl-json</t>
  </si>
  <si>
    <t>Report pnl as json</t>
  </si>
  <si>
    <t>Part 2</t>
  </si>
  <si>
    <t>application/json, 582 bytes</t>
  </si>
  <si>
    <t>TS-REP-stock-xlsx</t>
  </si>
  <si>
    <t>Report stock as xlsx</t>
  </si>
  <si>
    <t>application/vnd.openxmlformats-officedocument.spreadsheetml.sheet, 7401 bytes</t>
  </si>
  <si>
    <t>TS-REP-daybook-pdf</t>
  </si>
  <si>
    <t>Report daybook as pdf</t>
  </si>
  <si>
    <t>application/pdf, 2554 bytes</t>
  </si>
  <si>
    <t>TS-REP-gst-xlsx</t>
  </si>
  <si>
    <t>Report gst as xlsx</t>
  </si>
  <si>
    <t>application/vnd.openxmlformats-officedocument.spreadsheetml.sheet, 6954 bytes</t>
  </si>
  <si>
    <t>TS-REP-purchases-pdf</t>
  </si>
  <si>
    <t>Report purchases as pdf</t>
  </si>
  <si>
    <t>application/pdf, 1341 bytes</t>
  </si>
  <si>
    <t>TS-REP-tally-xml</t>
  </si>
  <si>
    <t>Report tally as Tally XML</t>
  </si>
  <si>
    <t>application/xml, 5092 bytes</t>
  </si>
  <si>
    <t>TS-REP-PAGE</t>
  </si>
  <si>
    <t>Reports page renders the P&amp;L table</t>
  </si>
  <si>
    <t>table shown</t>
  </si>
  <si>
    <t>TS-SALE-01</t>
  </si>
  <si>
    <t>GST sales invoice to another state → IGST; PDF; stock out; cancel puts stock back</t>
  </si>
  <si>
    <t>Part 1 / 2</t>
  </si>
  <si>
    <t>SKIPPED: this test shop has no GSTIN / state, so it cannot issue GST invoices (correct refusal) — Passed in the earlier staging run on the GST-registered test shop: S2627-00001, IGST ₹12, PDF, stock −1 then back on cancel.</t>
  </si>
  <si>
    <t>TS-MONEY-01</t>
  </si>
  <si>
    <t>Supplier payable, payment in cash, cash book and day book balance</t>
  </si>
  <si>
    <t>paid ₹100, payable ₹560 → ₹460; 5 vouchers today all balanced</t>
  </si>
  <si>
    <t>TS-ISO-01</t>
  </si>
  <si>
    <t>Signed out: module pages redirect to sign-in, API 401</t>
  </si>
  <si>
    <t>Part 7</t>
  </si>
  <si>
    <t>page 307, API 401</t>
  </si>
  <si>
    <t>TS-ISO-02</t>
  </si>
  <si>
    <t>The owner cannot read another shop's books (403)</t>
  </si>
  <si>
    <t>other shop 2ecd873c…: 403</t>
  </si>
  <si>
    <t>PS-PAGES</t>
  </si>
  <si>
    <t>Smoke</t>
  </si>
  <si>
    <t>All 12 module pages ask a signed-out visitor to sign in (no 404 / 500)</t>
  </si>
  <si>
    <t>Deploy / Part 7</t>
  </si>
  <si>
    <t>all redirect to /signin</t>
  </si>
  <si>
    <t>PS-API</t>
  </si>
  <si>
    <t>Module API refuses a request without a session (401) on every resource</t>
  </si>
  <si>
    <t>8 resources → 401</t>
  </si>
  <si>
    <t>PS-API-WRITE</t>
  </si>
  <si>
    <t>Module API refuses a write without a session (bill upload → 401)</t>
  </si>
  <si>
    <t>POST bills → 401</t>
  </si>
  <si>
    <t>PS-CRON-BILLS</t>
  </si>
  <si>
    <t>/api/cron/bill-captures refuses a call without the cron secret</t>
  </si>
  <si>
    <t>→ 403</t>
  </si>
  <si>
    <t>PS-CRON-GST</t>
  </si>
  <si>
    <t>/api/cron/gst-reminders refuses a call without the cron secret</t>
  </si>
  <si>
    <t>PS-INBOUND</t>
  </si>
  <si>
    <t>Bill email endpoint refuses a post without its secret</t>
  </si>
  <si>
    <t>PS-SHARE</t>
  </si>
  <si>
    <t>Share target (/shop/accounts/share) sends a signed-out share to sign-in</t>
  </si>
  <si>
    <t>→ 303 https://test.gokesari.com/signin?callbackUrl=/shop/accounts/capture</t>
  </si>
  <si>
    <t>PS-MANIFEST</t>
  </si>
  <si>
    <t>Web app manifest has the bill share target and the Scan bill shortcut</t>
  </si>
  <si>
    <t>share_target /shop/accounts/share; shortcuts /shop/accounts/capture?mode=scan</t>
  </si>
  <si>
    <t>PS-EXISTING</t>
  </si>
  <si>
    <t>Existing pages still answer (/, /shops, /signin, /shop → sign-in)</t>
  </si>
  <si>
    <t>/ 200, /shops 200, /signin 200, /shop 307</t>
  </si>
  <si>
    <t>PS-UI-DESKTOP</t>
  </si>
  <si>
    <t>Opening Bills &amp; GST signed out (desktop) lands on the sign-in form with no page errors</t>
  </si>
  <si>
    <t>/signin?callbackUrl=/shop/accounts; page errors 0</t>
  </si>
  <si>
    <t>PS-UI-ANDROID</t>
  </si>
  <si>
    <t>Opening Bills &amp; GST signed out (Android app) lands on the sign-in form with no page errors</t>
  </si>
  <si>
    <t>TS-STOCK-ORDER</t>
  </si>
  <si>
    <t>Online order (customer gk-cust, test wallet) reduces the shop's stock at checkout: SALE ledger row with the order id, ledger = stock (no cron)</t>
  </si>
  <si>
    <t>Part 1</t>
  </si>
  <si>
    <t>15:41 UTC, order DB-20261015-J6P9US: stock 198 → 197 immediately after checkout, SALE −1 on ONLINE, ledger balance 197. (07:23 run before the fixes: order 087d1150, 199 → 198, also PASS.) Note: the first checkout attempt at 15:41 answered 500 'Something went wrong'; the identical retry seconds later succeeded — not reproduced, server log not available from this session</t>
  </si>
  <si>
    <t>TS-STOCK-CANCEL</t>
  </si>
  <si>
    <t>Cancelling the order puts the stock back: SALE_RETURN ledger row linked to the order; no listing drifts from its ledger</t>
  </si>
  <si>
    <t>Stock back to 198, SALE_RETURN +1 source ORDER 'Order DB-20261015-J6P9US cancelled', drift 0. The 07:23 cancellation (recorded as ADJUSTMENT before migration 0078) is now SALE_RETURN with its order — defect found at 07:23 and fixed by 0078</t>
  </si>
  <si>
    <t>TS-PERF-01</t>
  </si>
  <si>
    <t>Module pages open quickly on the test site (database far from the web server)</t>
  </si>
  <si>
    <t>Before #172: /shop/accounts ≈ 40.8 s, /shop/accounts/gst ≈ 40.2 s (Seller Central /shop 7.8 s). After #172: board and 13 pages each open in ≈ 4 s in the run (TS-BOARD/TS-NAV timings 15:32–15:33 UTC)</t>
  </si>
  <si>
    <t>TS-PAY-SANDBOX</t>
  </si>
  <si>
    <t>Test wallet top-up for the stock test with Cashfree SANDBOX UPI testsuccess@gocash (Sandbox payment workflow)</t>
  </si>
  <si>
    <t>Test setup</t>
  </si>
  <si>
    <t>Top-up ₹100 (cashfreeMode sandbox) paid by workflow run 25, verified: balance ₹40 → ₹140. A first attempt was verified before the sandbox payment completed and was marked failed — tester's sequencing error, not a product defect</t>
  </si>
  <si>
    <t>PROD-PS-PAGES</t>
  </si>
  <si>
    <t>Smoke (read-only)</t>
  </si>
  <si>
    <t>all redirect to /signin — 16:06 UTC, release #179 (acfaa6a); no sign-in, no test data</t>
  </si>
  <si>
    <t>PROD-PS-API</t>
  </si>
  <si>
    <t>8 resources → 401 — 16:06 UTC, release #179 (acfaa6a); no sign-in, no test data</t>
  </si>
  <si>
    <t>PROD-PS-API-WRITE</t>
  </si>
  <si>
    <t>POST bills → 401 — 16:06 UTC, release #179 (acfaa6a); no sign-in, no test data</t>
  </si>
  <si>
    <t>PROD-PS-CRON-BILLS</t>
  </si>
  <si>
    <t>→ 403 — 16:06 UTC, release #179 (acfaa6a); no sign-in, no test data</t>
  </si>
  <si>
    <t>PROD-PS-CRON-GST</t>
  </si>
  <si>
    <t>PROD-PS-INBOUND</t>
  </si>
  <si>
    <t>PROD-PS-SHARE</t>
  </si>
  <si>
    <t>→ 303 https://gokesari.com/signin?callbackUrl=/shop/accounts/capture — 16:06 UTC, release #179 (acfaa6a); no sign-in, no test data</t>
  </si>
  <si>
    <t>PROD-PS-MANIFEST</t>
  </si>
  <si>
    <t>share_target /shop/accounts/share; shortcuts /shop/accounts/capture?mode=scan — 16:06 UTC, release #179 (acfaa6a); no sign-in, no test data</t>
  </si>
  <si>
    <t>PROD-PS-EXISTING</t>
  </si>
  <si>
    <t>/ 200, /shops 200, /signin 200, /shop 307 — 16:06 UTC, release #179 (acfaa6a); no sign-in, no test data</t>
  </si>
  <si>
    <t>PROD-PS-UI-DESKTOP</t>
  </si>
  <si>
    <t>/signin?callbackUrl=/shop/accounts; page errors 0 — 16:06 UTC, release #179 (acfaa6a); no sign-in, no test data</t>
  </si>
  <si>
    <t>PROD-PS-UI-ANDROID</t>
  </si>
  <si>
    <t>PROD-MIGRATIONS</t>
  </si>
  <si>
    <t>Migrations 0076–0078 applied on the production database by the release build</t>
  </si>
  <si>
    <t>Deploy</t>
  </si>
  <si>
    <t>Before the release (15:44 UTC) /shop/accounts and the accounts API answered 404; after it (16:05) 307 and 401. A failed migration stops the Hostinger build (MIGRATE_ON_BUILD=true), so the new code serving proves 0076–0078 ran</t>
  </si>
  <si>
    <t>PROD-SIGNED-IN</t>
  </si>
  <si>
    <t>Signed-in shop-owner checks on production</t>
  </si>
  <si>
    <t>—</t>
  </si>
  <si>
    <t>Not run by design: production testing is read-only (no sign-in, no test data). The same code passed the signed-in run on test.gokesari.com</t>
  </si>
  <si>
    <t>CI-171</t>
  </si>
  <si>
    <t>CI</t>
  </si>
  <si>
    <t>CI on PR #171 head 8a67ca7: typecheck, lint, full unit + integration suite, production build, both APKs</t>
  </si>
  <si>
    <t>All parts</t>
  </si>
  <si>
    <t>GitHub Actions run 447 + APK run</t>
  </si>
  <si>
    <t>CI-172</t>
  </si>
  <si>
    <t>CI on PR #172 head fa321c1 (after merging staging #173/#174): full suite 1,915 tests, production build</t>
  </si>
  <si>
    <t>Run 463. Earlier head dbebcb5: 1 of 1,915 failed in tests/integration/pmd-loader.test.ts (parallel-loader race, not in this module; passed on re-run) — recorded as a follow-up</t>
  </si>
  <si>
    <t>CI-180</t>
  </si>
  <si>
    <t>CI on the release merge (77006b4 = staging 62984d0 + main docs): test, mobile, APK production, APK preview</t>
  </si>
  <si>
    <t>APK (preview) first failed installing the Android NDK (corrupt download, "Archive is not a ZIP archive"); passed on one re-run. Release itself went out as #179 (same code)</t>
  </si>
  <si>
    <t>CI-MIGRATE</t>
  </si>
  <si>
    <t>migrate-on-build rewind through rollback-0078 → 0077 → 0076 (proves the rollback scripts)</t>
  </si>
  <si>
    <t>tests/integration/migrate-on-build.test.ts, local and CI</t>
  </si>
  <si>
    <t>#</t>
  </si>
  <si>
    <t>Found in</t>
  </si>
  <si>
    <t>Defect</t>
  </si>
  <si>
    <t>Fix</t>
  </si>
  <si>
    <t>Status</t>
  </si>
  <si>
    <t>Integration (local)</t>
  </si>
  <si>
    <t>Mock GST provider never produced an amount mismatch for a shop with 3 bills, so reconciliation's mismatch path was untested end to end</t>
  </si>
  <si>
    <t>Mock now adds ₹10 to every second reported bill (i % 2 === 1)</t>
  </si>
  <si>
    <t>Fixed</t>
  </si>
  <si>
    <t>Unit (local)</t>
  </si>
  <si>
    <t>Bill text parser read the word 'Invoice' as the invoice number on 'TAX INVOICE / Invoice No:' headers</t>
  </si>
  <si>
    <t>Number must follow no / number / # or a colon, and contain a digit</t>
  </si>
  <si>
    <t>Amounts such as 9072.00 were read as 2.00 (comma-group regex matched the tail)</t>
  </si>
  <si>
    <t>Number regex requires at least one comma group in the Indian-grouping branch</t>
  </si>
  <si>
    <t>'Create new product' on a bill line created a duplicate master product when the barcode already existed in the master catalogue</t>
  </si>
  <si>
    <t>Line creation reuses the master product by barcode; test updated</t>
  </si>
  <si>
    <t>Typecheck</t>
  </si>
  <si>
    <t>mrpSource 'SHOP_OWNER' is not a valid enum value for new listings created from a bill</t>
  </si>
  <si>
    <t>Uses SELLER_SUBMITTED</t>
  </si>
  <si>
    <t>Lint</t>
  </si>
  <si>
    <t>Review screen set state inside an effect (cascading render) when the bill status changed</t>
  </si>
  <si>
    <t>Effect removed; the page keys the review component by status + updatedAt</t>
  </si>
  <si>
    <t>E2E (local, phone)</t>
  </si>
  <si>
    <t>The accounts board reused the data-tile-board marker, which hides Seller Central's top bar and padding on phones</t>
  </si>
  <si>
    <t>Marker renamed to data-accounts-board</t>
  </si>
  <si>
    <t>E2E (local)</t>
  </si>
  <si>
    <t>Content-Security-Policy sandbox on the file route blocked the browser's PDF viewer for uploaded PDF bills</t>
  </si>
  <si>
    <t>Sandbox CSP applied to images only</t>
  </si>
  <si>
    <t>Integration (local, full suite)</t>
  </si>
  <si>
    <t>migrate-on-build rewind test failed because the 0076 tables blocked rolling back earlier migrations</t>
  </si>
  <si>
    <t>0076 added to the rollback list (also proves scripts/rollback-0076.sql)</t>
  </si>
  <si>
    <t>GST import test clicked a button label that the panel no longer used</t>
  </si>
  <si>
    <t>Selector 'Import file'</t>
  </si>
  <si>
    <t>Merge with staging</t>
  </si>
  <si>
    <t>Staging added a multi-shop switcher; accounts pages picked the newest shop instead of the chosen one</t>
  </si>
  <si>
    <t>Module uses activeShop() like the rest of Seller Central</t>
  </si>
  <si>
    <t>Staging test tooling</t>
  </si>
  <si>
    <t>Sign-in script pressed Enter before the page hydrated, so the consent tick did not register and no code was sent</t>
  </si>
  <si>
    <t>Script waits for 'Get code' to enable before clicking</t>
  </si>
  <si>
    <t>Staging (test.gokesari.com) · TS-BOARD / TS-NAV</t>
  </si>
  <si>
    <t>Inventory &amp; Accounting board and GST page took ~40 s to open on the test site (Seller Central /shop: ~8 s). GST liability read each of up to 24 earlier months with several sequential database queries; the test site's database is far from its web server</t>
  </si>
  <si>
    <t>All months loaded in five grouped queries, same figures (PR #172). With 100 ms added per database round trip every module page opens in 0.9–1.5 s</t>
  </si>
  <si>
    <t>Staging · smoke test PS-SHARE</t>
  </si>
  <si>
    <t>The share target (bill shared to the app) redirected a signed-out user to https://0.0.0.0:3000/signin — the server's internal address behind Hostinger's proxy</t>
  </si>
  <si>
    <t>Redirects use the public origin (AUTH_URL), as the Zoho callback does (PR #172)</t>
  </si>
  <si>
    <t>Staging · TS-STOCK-CANCEL (real customer order)</t>
  </si>
  <si>
    <t>A cancelled online order's restock was written to the stock ledger as ADJUSTMENT without the order id (stock and totals were correct) — the existing restock code records no order id</t>
  </si>
  <si>
    <t>Migration 0078: the ledger trigger links the cancellation to its order (SALE_RETURN) and relabels rows written since 0076; existing order code unchanged; rollback-0078.sql; integration test asserts it (PR #172)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</si>
</sst>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4"/>
    </font>
    <font>
      <b/>
    </font>
    <font>
      <b/>
      <color rgb="FFFFFFFF"/>
    </font>
  </fonts>
  <fills count="6">
    <fill>
      <patternFill patternType="none"/>
    </fill>
    <fill>
      <patternFill patternType="gray125"/>
    </fill>
    <fill>
      <patternFill patternType="solid">
        <fgColor rgb="FFC2410C"/>
      </patternFill>
    </fill>
    <fill>
      <patternFill patternType="solid">
        <fgColor rgb="FFDCFCE7"/>
      </patternFill>
    </fill>
    <fill>
      <patternFill patternType="solid">
        <fgColor rgb="FFF1F5F9"/>
      </patternFill>
    </fill>
    <fill>
      <patternFill patternType="solid">
        <fgColor rgb="FFFEF3C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0" xfId="0" applyFont="1" applyFill="1"/>
    <xf numFmtId="0" fontId="0" fillId="0" borderId="0" xfId="0" applyAlignment="1">
      <alignment vertical="top" wrapText="1"/>
    </xf>
    <xf numFmtId="0" fontId="0" fillId="3" borderId="0" xfId="0" applyFill="1" applyAlignment="1">
      <alignment vertical="top" wrapText="1"/>
    </xf>
    <xf numFmtId="0" fontId="0" fillId="4" borderId="0" xfId="0" applyFill="1" applyAlignment="1">
      <alignment vertical="top" wrapText="1"/>
    </xf>
    <xf numFmtId="0" fontId="0" fillId="5" borderId="0" xfId="0" applyFill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0"/>
  <sheetFormatPr defaultRowHeight="15" outlineLevelRow="0" outlineLevelCol="0" x14ac:dyDescent="55"/>
  <cols>
    <col min="1" max="1" width="44" customWidth="1"/>
  </cols>
  <sheetData>
    <row r="1" spans="1:1" x14ac:dyDescent="0.25">
      <c r="A1" s="1" t="s">
        <v>0</v>
      </c>
    </row>
    <row r="3" spans="1:7" s="2" customFormat="1" x14ac:dyDescent="0.25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</row>
    <row r="4" spans="1:7" x14ac:dyDescent="0.25">
      <c r="A4" t="s">
        <v>8</v>
      </c>
      <c r="B4">
        <f>COUNTIFS('Test cases'!$C$2:$C$2000,$A4,'Test cases'!$F$2:$F$2000,"PASS")</f>
      </c>
      <c r="C4">
        <f>COUNTIFS('Test cases'!$C$2:$C$2000,$A4,'Test cases'!$F$2:$F$2000,"FAIL")</f>
      </c>
      <c r="D4">
        <f>COUNTIFS('Test cases'!$C$2:$C$2000,$A4,'Test cases'!$F$2:$F$2000,"BLOCKED")</f>
      </c>
      <c r="E4">
        <f>COUNTIFS('Test cases'!$C$2:$C$2000,$A4,'Test cases'!$F$2:$F$2000,"SKIPPED")</f>
      </c>
      <c r="F4">
        <f>COUNTIFS('Test cases'!$C$2:$C$2000,$A4,'Test cases'!$F$2:$F$2000,"N/A")</f>
      </c>
      <c r="G4">
        <f>SUM(B4:F4)</f>
      </c>
    </row>
    <row r="5" spans="1:7" x14ac:dyDescent="0.25">
      <c r="A5" t="s">
        <v>9</v>
      </c>
      <c r="B5">
        <f>COUNTIFS('Test cases'!$C$2:$C$2000,$A5,'Test cases'!$F$2:$F$2000,"PASS")</f>
      </c>
      <c r="C5">
        <f>COUNTIFS('Test cases'!$C$2:$C$2000,$A5,'Test cases'!$F$2:$F$2000,"FAIL")</f>
      </c>
      <c r="D5">
        <f>COUNTIFS('Test cases'!$C$2:$C$2000,$A5,'Test cases'!$F$2:$F$2000,"BLOCKED")</f>
      </c>
      <c r="E5">
        <f>COUNTIFS('Test cases'!$C$2:$C$2000,$A5,'Test cases'!$F$2:$F$2000,"SKIPPED")</f>
      </c>
      <c r="F5">
        <f>COUNTIFS('Test cases'!$C$2:$C$2000,$A5,'Test cases'!$F$2:$F$2000,"N/A")</f>
      </c>
      <c r="G5">
        <f>SUM(B5:F5)</f>
      </c>
    </row>
    <row r="6" spans="1:7" x14ac:dyDescent="0.25">
      <c r="A6" t="s">
        <v>10</v>
      </c>
      <c r="B6">
        <f>COUNTIFS('Test cases'!$C$2:$C$2000,$A6,'Test cases'!$F$2:$F$2000,"PASS")</f>
      </c>
      <c r="C6">
        <f>COUNTIFS('Test cases'!$C$2:$C$2000,$A6,'Test cases'!$F$2:$F$2000,"FAIL")</f>
      </c>
      <c r="D6">
        <f>COUNTIFS('Test cases'!$C$2:$C$2000,$A6,'Test cases'!$F$2:$F$2000,"BLOCKED")</f>
      </c>
      <c r="E6">
        <f>COUNTIFS('Test cases'!$C$2:$C$2000,$A6,'Test cases'!$F$2:$F$2000,"SKIPPED")</f>
      </c>
      <c r="F6">
        <f>COUNTIFS('Test cases'!$C$2:$C$2000,$A6,'Test cases'!$F$2:$F$2000,"N/A")</f>
      </c>
      <c r="G6">
        <f>SUM(B6:F6)</f>
      </c>
    </row>
    <row r="7" spans="1:7" x14ac:dyDescent="0.25">
      <c r="A7" t="s">
        <v>11</v>
      </c>
      <c r="B7">
        <f>COUNTIFS('Test cases'!$C$2:$C$2000,$A7,'Test cases'!$F$2:$F$2000,"PASS")</f>
      </c>
      <c r="C7">
        <f>COUNTIFS('Test cases'!$C$2:$C$2000,$A7,'Test cases'!$F$2:$F$2000,"FAIL")</f>
      </c>
      <c r="D7">
        <f>COUNTIFS('Test cases'!$C$2:$C$2000,$A7,'Test cases'!$F$2:$F$2000,"BLOCKED")</f>
      </c>
      <c r="E7">
        <f>COUNTIFS('Test cases'!$C$2:$C$2000,$A7,'Test cases'!$F$2:$F$2000,"SKIPPED")</f>
      </c>
      <c r="F7">
        <f>COUNTIFS('Test cases'!$C$2:$C$2000,$A7,'Test cases'!$F$2:$F$2000,"N/A")</f>
      </c>
      <c r="G7">
        <f>SUM(B7:F7)</f>
      </c>
    </row>
    <row r="8" spans="1:7" x14ac:dyDescent="0.25">
      <c r="A8" t="s">
        <v>12</v>
      </c>
      <c r="B8">
        <f>COUNTIFS('Test cases'!$C$2:$C$2000,$A8,'Test cases'!$F$2:$F$2000,"PASS")</f>
      </c>
      <c r="C8">
        <f>COUNTIFS('Test cases'!$C$2:$C$2000,$A8,'Test cases'!$F$2:$F$2000,"FAIL")</f>
      </c>
      <c r="D8">
        <f>COUNTIFS('Test cases'!$C$2:$C$2000,$A8,'Test cases'!$F$2:$F$2000,"BLOCKED")</f>
      </c>
      <c r="E8">
        <f>COUNTIFS('Test cases'!$C$2:$C$2000,$A8,'Test cases'!$F$2:$F$2000,"SKIPPED")</f>
      </c>
      <c r="F8">
        <f>COUNTIFS('Test cases'!$C$2:$C$2000,$A8,'Test cases'!$F$2:$F$2000,"N/A")</f>
      </c>
      <c r="G8">
        <f>SUM(B8:F8)</f>
      </c>
    </row>
    <row r="9" spans="1:7" x14ac:dyDescent="0.25">
      <c r="A9" t="s">
        <v>13</v>
      </c>
      <c r="B9">
        <f>COUNTIFS('Test cases'!$C$2:$C$2000,$A9,'Test cases'!$F$2:$F$2000,"PASS")</f>
      </c>
      <c r="C9">
        <f>COUNTIFS('Test cases'!$C$2:$C$2000,$A9,'Test cases'!$F$2:$F$2000,"FAIL")</f>
      </c>
      <c r="D9">
        <f>COUNTIFS('Test cases'!$C$2:$C$2000,$A9,'Test cases'!$F$2:$F$2000,"BLOCKED")</f>
      </c>
      <c r="E9">
        <f>COUNTIFS('Test cases'!$C$2:$C$2000,$A9,'Test cases'!$F$2:$F$2000,"SKIPPED")</f>
      </c>
      <c r="F9">
        <f>COUNTIFS('Test cases'!$C$2:$C$2000,$A9,'Test cases'!$F$2:$F$2000,"N/A")</f>
      </c>
      <c r="G9">
        <f>SUM(B9:F9)</f>
      </c>
    </row>
    <row r="10" spans="1:7" x14ac:dyDescent="0.25">
      <c r="A10" t="s">
        <v>14</v>
      </c>
      <c r="B10">
        <f>COUNTIFS('Test cases'!$C$2:$C$2000,$A10,'Test cases'!$F$2:$F$2000,"PASS")</f>
      </c>
      <c r="C10">
        <f>COUNTIFS('Test cases'!$C$2:$C$2000,$A10,'Test cases'!$F$2:$F$2000,"FAIL")</f>
      </c>
      <c r="D10">
        <f>COUNTIFS('Test cases'!$C$2:$C$2000,$A10,'Test cases'!$F$2:$F$2000,"BLOCKED")</f>
      </c>
      <c r="E10">
        <f>COUNTIFS('Test cases'!$C$2:$C$2000,$A10,'Test cases'!$F$2:$F$2000,"SKIPPED")</f>
      </c>
      <c r="F10">
        <f>COUNTIFS('Test cases'!$C$2:$C$2000,$A10,'Test cases'!$F$2:$F$2000,"N/A")</f>
      </c>
      <c r="G10">
        <f>SUM(B10:F10)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2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2" width="12" customWidth="1"/>
    <col min="3" max="3" width="30" customWidth="1"/>
    <col min="4" max="4" width="64" customWidth="1"/>
    <col min="5" max="5" width="16" customWidth="1"/>
    <col min="7" max="7" width="80" customWidth="1"/>
  </cols>
  <sheetData>
    <row r="1" spans="1:7" s="3" customFormat="1" x14ac:dyDescent="0.25">
      <c r="A1" s="3" t="s">
        <v>15</v>
      </c>
      <c r="B1" s="3" t="s">
        <v>16</v>
      </c>
      <c r="C1" s="3" t="s">
        <v>1</v>
      </c>
      <c r="D1" s="3" t="s">
        <v>17</v>
      </c>
      <c r="E1" s="3" t="s">
        <v>18</v>
      </c>
      <c r="F1" s="3" t="s">
        <v>19</v>
      </c>
      <c r="G1" s="3" t="s">
        <v>20</v>
      </c>
    </row>
    <row r="2" spans="1:7" s="4" customFormat="1" x14ac:dyDescent="0.25">
      <c r="A2" s="4" t="s">
        <v>21</v>
      </c>
      <c r="B2" s="4" t="s">
        <v>22</v>
      </c>
      <c r="C2" s="4" t="s">
        <v>8</v>
      </c>
      <c r="D2" s="4" t="s">
        <v>23</v>
      </c>
      <c r="E2" s="4" t="s">
        <v>24</v>
      </c>
      <c r="F2" s="5" t="s">
        <v>2</v>
      </c>
      <c r="G2" s="4" t="s">
        <v>25</v>
      </c>
    </row>
    <row r="3" spans="1:7" s="4" customFormat="1" x14ac:dyDescent="0.25">
      <c r="A3" s="4" t="s">
        <v>26</v>
      </c>
      <c r="B3" s="4" t="s">
        <v>22</v>
      </c>
      <c r="C3" s="4" t="s">
        <v>8</v>
      </c>
      <c r="D3" s="4" t="s">
        <v>27</v>
      </c>
      <c r="E3" s="4" t="s">
        <v>24</v>
      </c>
      <c r="F3" s="5" t="s">
        <v>2</v>
      </c>
      <c r="G3" s="4" t="s">
        <v>28</v>
      </c>
    </row>
    <row r="4" spans="1:7" s="4" customFormat="1" x14ac:dyDescent="0.25">
      <c r="A4" s="4" t="s">
        <v>29</v>
      </c>
      <c r="B4" s="4" t="s">
        <v>22</v>
      </c>
      <c r="C4" s="4" t="s">
        <v>8</v>
      </c>
      <c r="D4" s="4" t="s">
        <v>30</v>
      </c>
      <c r="E4" s="4" t="s">
        <v>24</v>
      </c>
      <c r="F4" s="5" t="s">
        <v>2</v>
      </c>
      <c r="G4" s="4" t="s">
        <v>31</v>
      </c>
    </row>
    <row r="5" spans="1:7" s="4" customFormat="1" x14ac:dyDescent="0.25">
      <c r="A5" s="4" t="s">
        <v>32</v>
      </c>
      <c r="B5" s="4" t="s">
        <v>22</v>
      </c>
      <c r="C5" s="4" t="s">
        <v>8</v>
      </c>
      <c r="D5" s="4" t="s">
        <v>33</v>
      </c>
      <c r="E5" s="4" t="s">
        <v>24</v>
      </c>
      <c r="F5" s="5" t="s">
        <v>2</v>
      </c>
      <c r="G5" s="4" t="s">
        <v>34</v>
      </c>
    </row>
    <row r="6" spans="1:7" s="4" customFormat="1" x14ac:dyDescent="0.25">
      <c r="A6" s="4" t="s">
        <v>35</v>
      </c>
      <c r="B6" s="4" t="s">
        <v>22</v>
      </c>
      <c r="C6" s="4" t="s">
        <v>8</v>
      </c>
      <c r="D6" s="4" t="s">
        <v>36</v>
      </c>
      <c r="E6" s="4" t="s">
        <v>24</v>
      </c>
      <c r="F6" s="5" t="s">
        <v>2</v>
      </c>
      <c r="G6" s="4" t="s">
        <v>37</v>
      </c>
    </row>
    <row r="7" spans="1:7" s="4" customFormat="1" x14ac:dyDescent="0.25">
      <c r="A7" s="4" t="s">
        <v>38</v>
      </c>
      <c r="B7" s="4" t="s">
        <v>22</v>
      </c>
      <c r="C7" s="4" t="s">
        <v>8</v>
      </c>
      <c r="D7" s="4" t="s">
        <v>39</v>
      </c>
      <c r="E7" s="4" t="s">
        <v>24</v>
      </c>
      <c r="F7" s="5" t="s">
        <v>2</v>
      </c>
      <c r="G7" s="4" t="s">
        <v>40</v>
      </c>
    </row>
    <row r="8" spans="1:7" s="4" customFormat="1" x14ac:dyDescent="0.25">
      <c r="A8" s="4" t="s">
        <v>41</v>
      </c>
      <c r="B8" s="4" t="s">
        <v>22</v>
      </c>
      <c r="C8" s="4" t="s">
        <v>8</v>
      </c>
      <c r="D8" s="4" t="s">
        <v>42</v>
      </c>
      <c r="E8" s="4" t="s">
        <v>24</v>
      </c>
      <c r="F8" s="5" t="s">
        <v>2</v>
      </c>
      <c r="G8" s="4" t="s">
        <v>43</v>
      </c>
    </row>
    <row r="9" spans="1:7" s="4" customFormat="1" x14ac:dyDescent="0.25">
      <c r="A9" s="4" t="s">
        <v>44</v>
      </c>
      <c r="B9" s="4" t="s">
        <v>22</v>
      </c>
      <c r="C9" s="4" t="s">
        <v>8</v>
      </c>
      <c r="D9" s="4" t="s">
        <v>45</v>
      </c>
      <c r="E9" s="4" t="s">
        <v>24</v>
      </c>
      <c r="F9" s="5" t="s">
        <v>2</v>
      </c>
      <c r="G9" s="4" t="s">
        <v>46</v>
      </c>
    </row>
    <row r="10" spans="1:7" s="4" customFormat="1" x14ac:dyDescent="0.25">
      <c r="A10" s="4" t="s">
        <v>47</v>
      </c>
      <c r="B10" s="4" t="s">
        <v>22</v>
      </c>
      <c r="C10" s="4" t="s">
        <v>8</v>
      </c>
      <c r="D10" s="4" t="s">
        <v>48</v>
      </c>
      <c r="E10" s="4" t="s">
        <v>49</v>
      </c>
      <c r="F10" s="5" t="s">
        <v>2</v>
      </c>
      <c r="G10" s="4" t="s">
        <v>50</v>
      </c>
    </row>
    <row r="11" spans="1:7" s="4" customFormat="1" x14ac:dyDescent="0.25">
      <c r="A11" s="4" t="s">
        <v>51</v>
      </c>
      <c r="B11" s="4" t="s">
        <v>22</v>
      </c>
      <c r="C11" s="4" t="s">
        <v>8</v>
      </c>
      <c r="D11" s="4" t="s">
        <v>52</v>
      </c>
      <c r="E11" s="4" t="s">
        <v>49</v>
      </c>
      <c r="F11" s="5" t="s">
        <v>2</v>
      </c>
      <c r="G11" s="4" t="s">
        <v>53</v>
      </c>
    </row>
    <row r="12" spans="1:7" s="4" customFormat="1" x14ac:dyDescent="0.25">
      <c r="A12" s="4" t="s">
        <v>54</v>
      </c>
      <c r="B12" s="4" t="s">
        <v>22</v>
      </c>
      <c r="C12" s="4" t="s">
        <v>8</v>
      </c>
      <c r="D12" s="4" t="s">
        <v>55</v>
      </c>
      <c r="E12" s="4" t="s">
        <v>49</v>
      </c>
      <c r="F12" s="5" t="s">
        <v>2</v>
      </c>
      <c r="G12" s="4" t="s">
        <v>56</v>
      </c>
    </row>
    <row r="13" spans="1:7" s="4" customFormat="1" x14ac:dyDescent="0.25">
      <c r="A13" s="4" t="s">
        <v>57</v>
      </c>
      <c r="B13" s="4" t="s">
        <v>22</v>
      </c>
      <c r="C13" s="4" t="s">
        <v>8</v>
      </c>
      <c r="D13" s="4" t="s">
        <v>58</v>
      </c>
      <c r="E13" s="4" t="s">
        <v>49</v>
      </c>
      <c r="F13" s="5" t="s">
        <v>2</v>
      </c>
      <c r="G13" s="4" t="s">
        <v>59</v>
      </c>
    </row>
    <row r="14" spans="1:7" s="4" customFormat="1" x14ac:dyDescent="0.25">
      <c r="A14" s="4" t="s">
        <v>60</v>
      </c>
      <c r="B14" s="4" t="s">
        <v>22</v>
      </c>
      <c r="C14" s="4" t="s">
        <v>8</v>
      </c>
      <c r="D14" s="4" t="s">
        <v>61</v>
      </c>
      <c r="E14" s="4" t="s">
        <v>49</v>
      </c>
      <c r="F14" s="5" t="s">
        <v>2</v>
      </c>
      <c r="G14" s="4" t="s">
        <v>62</v>
      </c>
    </row>
    <row r="15" spans="1:7" s="4" customFormat="1" x14ac:dyDescent="0.25">
      <c r="A15" s="4" t="s">
        <v>63</v>
      </c>
      <c r="B15" s="4" t="s">
        <v>22</v>
      </c>
      <c r="C15" s="4" t="s">
        <v>8</v>
      </c>
      <c r="D15" s="4" t="s">
        <v>64</v>
      </c>
      <c r="E15" s="4" t="s">
        <v>49</v>
      </c>
      <c r="F15" s="5" t="s">
        <v>2</v>
      </c>
      <c r="G15" s="4" t="s">
        <v>65</v>
      </c>
    </row>
    <row r="16" spans="1:7" s="4" customFormat="1" x14ac:dyDescent="0.25">
      <c r="A16" s="4" t="s">
        <v>66</v>
      </c>
      <c r="B16" s="4" t="s">
        <v>22</v>
      </c>
      <c r="C16" s="4" t="s">
        <v>8</v>
      </c>
      <c r="D16" s="4" t="s">
        <v>67</v>
      </c>
      <c r="E16" s="4" t="s">
        <v>49</v>
      </c>
      <c r="F16" s="5" t="s">
        <v>2</v>
      </c>
      <c r="G16" s="4" t="s">
        <v>68</v>
      </c>
    </row>
    <row r="17" spans="1:7" s="4" customFormat="1" x14ac:dyDescent="0.25">
      <c r="A17" s="4" t="s">
        <v>69</v>
      </c>
      <c r="B17" s="4" t="s">
        <v>22</v>
      </c>
      <c r="C17" s="4" t="s">
        <v>8</v>
      </c>
      <c r="D17" s="4" t="s">
        <v>70</v>
      </c>
      <c r="E17" s="4" t="s">
        <v>49</v>
      </c>
      <c r="F17" s="5" t="s">
        <v>2</v>
      </c>
      <c r="G17" s="4" t="s">
        <v>71</v>
      </c>
    </row>
    <row r="18" spans="1:7" s="4" customFormat="1" x14ac:dyDescent="0.25">
      <c r="A18" s="4" t="s">
        <v>72</v>
      </c>
      <c r="B18" s="4" t="s">
        <v>22</v>
      </c>
      <c r="C18" s="4" t="s">
        <v>8</v>
      </c>
      <c r="D18" s="4" t="s">
        <v>73</v>
      </c>
      <c r="E18" s="4" t="s">
        <v>49</v>
      </c>
      <c r="F18" s="5" t="s">
        <v>2</v>
      </c>
      <c r="G18" s="4" t="s">
        <v>74</v>
      </c>
    </row>
    <row r="19" spans="1:7" s="4" customFormat="1" x14ac:dyDescent="0.25">
      <c r="A19" s="4" t="s">
        <v>75</v>
      </c>
      <c r="B19" s="4" t="s">
        <v>22</v>
      </c>
      <c r="C19" s="4" t="s">
        <v>8</v>
      </c>
      <c r="D19" s="4" t="s">
        <v>76</v>
      </c>
      <c r="E19" s="4" t="s">
        <v>49</v>
      </c>
      <c r="F19" s="5" t="s">
        <v>2</v>
      </c>
      <c r="G19" s="4" t="s">
        <v>77</v>
      </c>
    </row>
    <row r="20" spans="1:7" s="4" customFormat="1" x14ac:dyDescent="0.25">
      <c r="A20" s="4" t="s">
        <v>78</v>
      </c>
      <c r="B20" s="4" t="s">
        <v>22</v>
      </c>
      <c r="C20" s="4" t="s">
        <v>8</v>
      </c>
      <c r="D20" s="4" t="s">
        <v>79</v>
      </c>
      <c r="E20" s="4" t="s">
        <v>49</v>
      </c>
      <c r="F20" s="5" t="s">
        <v>2</v>
      </c>
      <c r="G20" s="4" t="s">
        <v>80</v>
      </c>
    </row>
    <row r="21" spans="1:7" s="4" customFormat="1" x14ac:dyDescent="0.25">
      <c r="A21" s="4" t="s">
        <v>81</v>
      </c>
      <c r="B21" s="4" t="s">
        <v>22</v>
      </c>
      <c r="C21" s="4" t="s">
        <v>8</v>
      </c>
      <c r="D21" s="4" t="s">
        <v>82</v>
      </c>
      <c r="E21" s="4" t="s">
        <v>49</v>
      </c>
      <c r="F21" s="5" t="s">
        <v>2</v>
      </c>
      <c r="G21" s="4" t="s">
        <v>83</v>
      </c>
    </row>
    <row r="22" spans="1:7" s="4" customFormat="1" x14ac:dyDescent="0.25">
      <c r="A22" s="4" t="s">
        <v>84</v>
      </c>
      <c r="B22" s="4" t="s">
        <v>22</v>
      </c>
      <c r="C22" s="4" t="s">
        <v>8</v>
      </c>
      <c r="D22" s="4" t="s">
        <v>85</v>
      </c>
      <c r="E22" s="4" t="s">
        <v>49</v>
      </c>
      <c r="F22" s="5" t="s">
        <v>2</v>
      </c>
      <c r="G22" s="4" t="s">
        <v>86</v>
      </c>
    </row>
    <row r="23" spans="1:7" s="4" customFormat="1" x14ac:dyDescent="0.25">
      <c r="A23" s="4" t="s">
        <v>87</v>
      </c>
      <c r="B23" s="4" t="s">
        <v>22</v>
      </c>
      <c r="C23" s="4" t="s">
        <v>8</v>
      </c>
      <c r="D23" s="4" t="s">
        <v>88</v>
      </c>
      <c r="E23" s="4" t="s">
        <v>49</v>
      </c>
      <c r="F23" s="5" t="s">
        <v>2</v>
      </c>
      <c r="G23" s="4" t="s">
        <v>89</v>
      </c>
    </row>
    <row r="24" spans="1:7" s="4" customFormat="1" x14ac:dyDescent="0.25">
      <c r="A24" s="4" t="s">
        <v>90</v>
      </c>
      <c r="B24" s="4" t="s">
        <v>22</v>
      </c>
      <c r="C24" s="4" t="s">
        <v>8</v>
      </c>
      <c r="D24" s="4" t="s">
        <v>91</v>
      </c>
      <c r="E24" s="4" t="s">
        <v>49</v>
      </c>
      <c r="F24" s="5" t="s">
        <v>2</v>
      </c>
      <c r="G24" s="4" t="s">
        <v>92</v>
      </c>
    </row>
    <row r="25" spans="1:7" s="4" customFormat="1" x14ac:dyDescent="0.25">
      <c r="A25" s="4" t="s">
        <v>93</v>
      </c>
      <c r="B25" s="4" t="s">
        <v>22</v>
      </c>
      <c r="C25" s="4" t="s">
        <v>8</v>
      </c>
      <c r="D25" s="4" t="s">
        <v>94</v>
      </c>
      <c r="E25" s="4" t="s">
        <v>49</v>
      </c>
      <c r="F25" s="5" t="s">
        <v>2</v>
      </c>
      <c r="G25" s="4" t="s">
        <v>95</v>
      </c>
    </row>
    <row r="26" spans="1:7" s="4" customFormat="1" x14ac:dyDescent="0.25">
      <c r="A26" s="4" t="s">
        <v>96</v>
      </c>
      <c r="B26" s="4" t="s">
        <v>22</v>
      </c>
      <c r="C26" s="4" t="s">
        <v>8</v>
      </c>
      <c r="D26" s="4" t="s">
        <v>97</v>
      </c>
      <c r="E26" s="4" t="s">
        <v>49</v>
      </c>
      <c r="F26" s="5" t="s">
        <v>2</v>
      </c>
      <c r="G26" s="4" t="s">
        <v>98</v>
      </c>
    </row>
    <row r="27" spans="1:7" s="4" customFormat="1" x14ac:dyDescent="0.25">
      <c r="A27" s="4" t="s">
        <v>99</v>
      </c>
      <c r="B27" s="4" t="s">
        <v>22</v>
      </c>
      <c r="C27" s="4" t="s">
        <v>8</v>
      </c>
      <c r="D27" s="4" t="s">
        <v>100</v>
      </c>
      <c r="E27" s="4" t="s">
        <v>49</v>
      </c>
      <c r="F27" s="5" t="s">
        <v>2</v>
      </c>
      <c r="G27" s="4" t="s">
        <v>101</v>
      </c>
    </row>
    <row r="28" spans="1:7" s="4" customFormat="1" x14ac:dyDescent="0.25">
      <c r="A28" s="4" t="s">
        <v>102</v>
      </c>
      <c r="B28" s="4" t="s">
        <v>22</v>
      </c>
      <c r="C28" s="4" t="s">
        <v>8</v>
      </c>
      <c r="D28" s="4" t="s">
        <v>103</v>
      </c>
      <c r="E28" s="4" t="s">
        <v>49</v>
      </c>
      <c r="F28" s="5" t="s">
        <v>2</v>
      </c>
      <c r="G28" s="4" t="s">
        <v>104</v>
      </c>
    </row>
    <row r="29" spans="1:7" s="4" customFormat="1" x14ac:dyDescent="0.25">
      <c r="A29" s="4" t="s">
        <v>105</v>
      </c>
      <c r="B29" s="4" t="s">
        <v>22</v>
      </c>
      <c r="C29" s="4" t="s">
        <v>8</v>
      </c>
      <c r="D29" s="4" t="s">
        <v>106</v>
      </c>
      <c r="E29" s="4" t="s">
        <v>49</v>
      </c>
      <c r="F29" s="5" t="s">
        <v>2</v>
      </c>
      <c r="G29" s="4" t="s">
        <v>107</v>
      </c>
    </row>
    <row r="30" spans="1:7" s="4" customFormat="1" x14ac:dyDescent="0.25">
      <c r="A30" s="4" t="s">
        <v>108</v>
      </c>
      <c r="B30" s="4" t="s">
        <v>22</v>
      </c>
      <c r="C30" s="4" t="s">
        <v>8</v>
      </c>
      <c r="D30" s="4" t="s">
        <v>109</v>
      </c>
      <c r="E30" s="4" t="s">
        <v>49</v>
      </c>
      <c r="F30" s="5" t="s">
        <v>2</v>
      </c>
      <c r="G30" s="4" t="s">
        <v>110</v>
      </c>
    </row>
    <row r="31" spans="1:7" s="4" customFormat="1" x14ac:dyDescent="0.25">
      <c r="A31" s="4" t="s">
        <v>111</v>
      </c>
      <c r="B31" s="4" t="s">
        <v>22</v>
      </c>
      <c r="C31" s="4" t="s">
        <v>8</v>
      </c>
      <c r="D31" s="4" t="s">
        <v>112</v>
      </c>
      <c r="E31" s="4" t="s">
        <v>49</v>
      </c>
      <c r="F31" s="5" t="s">
        <v>2</v>
      </c>
      <c r="G31" s="4" t="s">
        <v>113</v>
      </c>
    </row>
    <row r="32" spans="1:7" s="4" customFormat="1" x14ac:dyDescent="0.25">
      <c r="A32" s="4" t="s">
        <v>114</v>
      </c>
      <c r="B32" s="4" t="s">
        <v>22</v>
      </c>
      <c r="C32" s="4" t="s">
        <v>8</v>
      </c>
      <c r="D32" s="4" t="s">
        <v>115</v>
      </c>
      <c r="E32" s="4" t="s">
        <v>116</v>
      </c>
      <c r="F32" s="5" t="s">
        <v>2</v>
      </c>
      <c r="G32" s="4" t="s">
        <v>117</v>
      </c>
    </row>
    <row r="33" spans="1:7" s="4" customFormat="1" x14ac:dyDescent="0.25">
      <c r="A33" s="4" t="s">
        <v>118</v>
      </c>
      <c r="B33" s="4" t="s">
        <v>22</v>
      </c>
      <c r="C33" s="4" t="s">
        <v>8</v>
      </c>
      <c r="D33" s="4" t="s">
        <v>119</v>
      </c>
      <c r="E33" s="4" t="s">
        <v>116</v>
      </c>
      <c r="F33" s="5" t="s">
        <v>2</v>
      </c>
      <c r="G33" s="4" t="s">
        <v>120</v>
      </c>
    </row>
    <row r="34" spans="1:7" s="4" customFormat="1" x14ac:dyDescent="0.25">
      <c r="A34" s="4" t="s">
        <v>121</v>
      </c>
      <c r="B34" s="4" t="s">
        <v>22</v>
      </c>
      <c r="C34" s="4" t="s">
        <v>8</v>
      </c>
      <c r="D34" s="4" t="s">
        <v>122</v>
      </c>
      <c r="E34" s="4" t="s">
        <v>116</v>
      </c>
      <c r="F34" s="5" t="s">
        <v>2</v>
      </c>
      <c r="G34" s="4" t="s">
        <v>123</v>
      </c>
    </row>
    <row r="35" spans="1:7" s="4" customFormat="1" x14ac:dyDescent="0.25">
      <c r="A35" s="4" t="s">
        <v>124</v>
      </c>
      <c r="B35" s="4" t="s">
        <v>22</v>
      </c>
      <c r="C35" s="4" t="s">
        <v>8</v>
      </c>
      <c r="D35" s="4" t="s">
        <v>125</v>
      </c>
      <c r="E35" s="4" t="s">
        <v>116</v>
      </c>
      <c r="F35" s="5" t="s">
        <v>2</v>
      </c>
      <c r="G35" s="4" t="s">
        <v>126</v>
      </c>
    </row>
    <row r="36" spans="1:7" s="4" customFormat="1" x14ac:dyDescent="0.25">
      <c r="A36" s="4" t="s">
        <v>127</v>
      </c>
      <c r="B36" s="4" t="s">
        <v>22</v>
      </c>
      <c r="C36" s="4" t="s">
        <v>8</v>
      </c>
      <c r="D36" s="4" t="s">
        <v>128</v>
      </c>
      <c r="E36" s="4" t="s">
        <v>116</v>
      </c>
      <c r="F36" s="5" t="s">
        <v>2</v>
      </c>
      <c r="G36" s="4" t="s">
        <v>129</v>
      </c>
    </row>
    <row r="37" spans="1:7" s="4" customFormat="1" x14ac:dyDescent="0.25">
      <c r="A37" s="4" t="s">
        <v>130</v>
      </c>
      <c r="B37" s="4" t="s">
        <v>22</v>
      </c>
      <c r="C37" s="4" t="s">
        <v>8</v>
      </c>
      <c r="D37" s="4" t="s">
        <v>131</v>
      </c>
      <c r="E37" s="4" t="s">
        <v>116</v>
      </c>
      <c r="F37" s="5" t="s">
        <v>2</v>
      </c>
      <c r="G37" s="4" t="s">
        <v>132</v>
      </c>
    </row>
    <row r="38" spans="1:7" s="4" customFormat="1" x14ac:dyDescent="0.25">
      <c r="A38" s="4" t="s">
        <v>133</v>
      </c>
      <c r="B38" s="4" t="s">
        <v>134</v>
      </c>
      <c r="C38" s="4" t="s">
        <v>8</v>
      </c>
      <c r="D38" s="4" t="s">
        <v>135</v>
      </c>
      <c r="E38" s="4" t="s">
        <v>136</v>
      </c>
      <c r="F38" s="5" t="s">
        <v>2</v>
      </c>
      <c r="G38" s="4" t="s">
        <v>137</v>
      </c>
    </row>
    <row r="39" spans="1:7" s="4" customFormat="1" x14ac:dyDescent="0.25">
      <c r="A39" s="4" t="s">
        <v>138</v>
      </c>
      <c r="B39" s="4" t="s">
        <v>134</v>
      </c>
      <c r="C39" s="4" t="s">
        <v>8</v>
      </c>
      <c r="D39" s="4" t="s">
        <v>139</v>
      </c>
      <c r="E39" s="4" t="s">
        <v>136</v>
      </c>
      <c r="F39" s="5" t="s">
        <v>2</v>
      </c>
      <c r="G39" s="4" t="s">
        <v>140</v>
      </c>
    </row>
    <row r="40" spans="1:7" s="4" customFormat="1" x14ac:dyDescent="0.25">
      <c r="A40" s="4" t="s">
        <v>141</v>
      </c>
      <c r="B40" s="4" t="s">
        <v>134</v>
      </c>
      <c r="C40" s="4" t="s">
        <v>8</v>
      </c>
      <c r="D40" s="4" t="s">
        <v>142</v>
      </c>
      <c r="E40" s="4" t="s">
        <v>136</v>
      </c>
      <c r="F40" s="5" t="s">
        <v>2</v>
      </c>
      <c r="G40" s="4" t="s">
        <v>140</v>
      </c>
    </row>
    <row r="41" spans="1:7" s="4" customFormat="1" x14ac:dyDescent="0.25">
      <c r="A41" s="4" t="s">
        <v>143</v>
      </c>
      <c r="B41" s="4" t="s">
        <v>134</v>
      </c>
      <c r="C41" s="4" t="s">
        <v>8</v>
      </c>
      <c r="D41" s="4" t="s">
        <v>144</v>
      </c>
      <c r="E41" s="4" t="s">
        <v>136</v>
      </c>
      <c r="F41" s="5" t="s">
        <v>2</v>
      </c>
      <c r="G41" s="4" t="s">
        <v>140</v>
      </c>
    </row>
    <row r="42" spans="1:7" s="4" customFormat="1" x14ac:dyDescent="0.25">
      <c r="A42" s="4" t="s">
        <v>145</v>
      </c>
      <c r="B42" s="4" t="s">
        <v>134</v>
      </c>
      <c r="C42" s="4" t="s">
        <v>8</v>
      </c>
      <c r="D42" s="4" t="s">
        <v>146</v>
      </c>
      <c r="E42" s="4" t="s">
        <v>136</v>
      </c>
      <c r="F42" s="5" t="s">
        <v>2</v>
      </c>
      <c r="G42" s="4" t="s">
        <v>147</v>
      </c>
    </row>
    <row r="43" spans="1:7" s="4" customFormat="1" x14ac:dyDescent="0.25">
      <c r="A43" s="4" t="s">
        <v>148</v>
      </c>
      <c r="B43" s="4" t="s">
        <v>134</v>
      </c>
      <c r="C43" s="4" t="s">
        <v>8</v>
      </c>
      <c r="D43" s="4" t="s">
        <v>149</v>
      </c>
      <c r="E43" s="4" t="s">
        <v>136</v>
      </c>
      <c r="F43" s="5" t="s">
        <v>2</v>
      </c>
      <c r="G43" s="4" t="s">
        <v>147</v>
      </c>
    </row>
    <row r="44" spans="1:7" s="4" customFormat="1" x14ac:dyDescent="0.25">
      <c r="A44" s="4" t="s">
        <v>150</v>
      </c>
      <c r="B44" s="4" t="s">
        <v>134</v>
      </c>
      <c r="C44" s="4" t="s">
        <v>8</v>
      </c>
      <c r="D44" s="4" t="s">
        <v>151</v>
      </c>
      <c r="E44" s="4" t="s">
        <v>136</v>
      </c>
      <c r="F44" s="5" t="s">
        <v>2</v>
      </c>
      <c r="G44" s="4" t="s">
        <v>140</v>
      </c>
    </row>
    <row r="45" spans="1:7" s="4" customFormat="1" x14ac:dyDescent="0.25">
      <c r="A45" s="4" t="s">
        <v>152</v>
      </c>
      <c r="B45" s="4" t="s">
        <v>134</v>
      </c>
      <c r="C45" s="4" t="s">
        <v>8</v>
      </c>
      <c r="D45" s="4" t="s">
        <v>153</v>
      </c>
      <c r="E45" s="4" t="s">
        <v>136</v>
      </c>
      <c r="F45" s="5" t="s">
        <v>2</v>
      </c>
      <c r="G45" s="4" t="s">
        <v>147</v>
      </c>
    </row>
    <row r="46" spans="1:7" s="4" customFormat="1" x14ac:dyDescent="0.25">
      <c r="A46" s="4" t="s">
        <v>154</v>
      </c>
      <c r="B46" s="4" t="s">
        <v>134</v>
      </c>
      <c r="C46" s="4" t="s">
        <v>8</v>
      </c>
      <c r="D46" s="4" t="s">
        <v>155</v>
      </c>
      <c r="E46" s="4" t="s">
        <v>136</v>
      </c>
      <c r="F46" s="5" t="s">
        <v>2</v>
      </c>
      <c r="G46" s="4" t="s">
        <v>147</v>
      </c>
    </row>
    <row r="47" spans="1:7" s="4" customFormat="1" x14ac:dyDescent="0.25">
      <c r="A47" s="4" t="s">
        <v>156</v>
      </c>
      <c r="B47" s="4" t="s">
        <v>134</v>
      </c>
      <c r="C47" s="4" t="s">
        <v>8</v>
      </c>
      <c r="D47" s="4" t="s">
        <v>157</v>
      </c>
      <c r="E47" s="4" t="s">
        <v>136</v>
      </c>
      <c r="F47" s="5" t="s">
        <v>2</v>
      </c>
      <c r="G47" s="4" t="s">
        <v>147</v>
      </c>
    </row>
    <row r="48" spans="1:7" s="4" customFormat="1" x14ac:dyDescent="0.25">
      <c r="A48" s="4" t="s">
        <v>158</v>
      </c>
      <c r="B48" s="4" t="s">
        <v>134</v>
      </c>
      <c r="C48" s="4" t="s">
        <v>8</v>
      </c>
      <c r="D48" s="4" t="s">
        <v>159</v>
      </c>
      <c r="E48" s="4" t="s">
        <v>136</v>
      </c>
      <c r="F48" s="5" t="s">
        <v>2</v>
      </c>
      <c r="G48" s="4" t="s">
        <v>160</v>
      </c>
    </row>
    <row r="49" spans="1:7" s="4" customFormat="1" x14ac:dyDescent="0.25">
      <c r="A49" s="4" t="s">
        <v>161</v>
      </c>
      <c r="B49" s="4" t="s">
        <v>134</v>
      </c>
      <c r="C49" s="4" t="s">
        <v>8</v>
      </c>
      <c r="D49" s="4" t="s">
        <v>162</v>
      </c>
      <c r="E49" s="4" t="s">
        <v>136</v>
      </c>
      <c r="F49" s="5" t="s">
        <v>2</v>
      </c>
      <c r="G49" s="4" t="s">
        <v>147</v>
      </c>
    </row>
    <row r="50" spans="1:7" s="4" customFormat="1" x14ac:dyDescent="0.25">
      <c r="A50" s="4" t="s">
        <v>163</v>
      </c>
      <c r="B50" s="4" t="s">
        <v>134</v>
      </c>
      <c r="C50" s="4" t="s">
        <v>8</v>
      </c>
      <c r="D50" s="4" t="s">
        <v>164</v>
      </c>
      <c r="E50" s="4" t="s">
        <v>136</v>
      </c>
      <c r="F50" s="5" t="s">
        <v>2</v>
      </c>
      <c r="G50" s="4" t="s">
        <v>147</v>
      </c>
    </row>
    <row r="51" spans="1:7" s="4" customFormat="1" x14ac:dyDescent="0.25">
      <c r="A51" s="4" t="s">
        <v>165</v>
      </c>
      <c r="B51" s="4" t="s">
        <v>134</v>
      </c>
      <c r="C51" s="4" t="s">
        <v>8</v>
      </c>
      <c r="D51" s="4" t="s">
        <v>166</v>
      </c>
      <c r="E51" s="4" t="s">
        <v>136</v>
      </c>
      <c r="F51" s="5" t="s">
        <v>2</v>
      </c>
      <c r="G51" s="4" t="s">
        <v>147</v>
      </c>
    </row>
    <row r="52" spans="1:7" s="4" customFormat="1" x14ac:dyDescent="0.25">
      <c r="A52" s="4" t="s">
        <v>167</v>
      </c>
      <c r="B52" s="4" t="s">
        <v>134</v>
      </c>
      <c r="C52" s="4" t="s">
        <v>8</v>
      </c>
      <c r="D52" s="4" t="s">
        <v>168</v>
      </c>
      <c r="E52" s="4" t="s">
        <v>136</v>
      </c>
      <c r="F52" s="5" t="s">
        <v>2</v>
      </c>
      <c r="G52" s="4" t="s">
        <v>140</v>
      </c>
    </row>
    <row r="53" spans="1:7" s="4" customFormat="1" x14ac:dyDescent="0.25">
      <c r="A53" s="4" t="s">
        <v>169</v>
      </c>
      <c r="B53" s="4" t="s">
        <v>134</v>
      </c>
      <c r="C53" s="4" t="s">
        <v>8</v>
      </c>
      <c r="D53" s="4" t="s">
        <v>170</v>
      </c>
      <c r="E53" s="4" t="s">
        <v>136</v>
      </c>
      <c r="F53" s="5" t="s">
        <v>2</v>
      </c>
      <c r="G53" s="4" t="s">
        <v>140</v>
      </c>
    </row>
    <row r="54" spans="1:7" s="4" customFormat="1" x14ac:dyDescent="0.25">
      <c r="A54" s="4" t="s">
        <v>171</v>
      </c>
      <c r="B54" s="4" t="s">
        <v>134</v>
      </c>
      <c r="C54" s="4" t="s">
        <v>8</v>
      </c>
      <c r="D54" s="4" t="s">
        <v>172</v>
      </c>
      <c r="E54" s="4" t="s">
        <v>136</v>
      </c>
      <c r="F54" s="5" t="s">
        <v>2</v>
      </c>
      <c r="G54" s="4" t="s">
        <v>140</v>
      </c>
    </row>
    <row r="55" spans="1:7" s="4" customFormat="1" x14ac:dyDescent="0.25">
      <c r="A55" s="4" t="s">
        <v>173</v>
      </c>
      <c r="B55" s="4" t="s">
        <v>134</v>
      </c>
      <c r="C55" s="4" t="s">
        <v>8</v>
      </c>
      <c r="D55" s="4" t="s">
        <v>174</v>
      </c>
      <c r="E55" s="4" t="s">
        <v>136</v>
      </c>
      <c r="F55" s="5" t="s">
        <v>2</v>
      </c>
      <c r="G55" s="4" t="s">
        <v>175</v>
      </c>
    </row>
    <row r="56" spans="1:7" s="4" customFormat="1" x14ac:dyDescent="0.25">
      <c r="A56" s="4" t="s">
        <v>176</v>
      </c>
      <c r="B56" s="4" t="s">
        <v>134</v>
      </c>
      <c r="C56" s="4" t="s">
        <v>8</v>
      </c>
      <c r="D56" s="4" t="s">
        <v>177</v>
      </c>
      <c r="E56" s="4" t="s">
        <v>136</v>
      </c>
      <c r="F56" s="5" t="s">
        <v>2</v>
      </c>
      <c r="G56" s="4" t="s">
        <v>140</v>
      </c>
    </row>
    <row r="57" spans="1:7" s="4" customFormat="1" x14ac:dyDescent="0.25">
      <c r="A57" s="4" t="s">
        <v>178</v>
      </c>
      <c r="B57" s="4" t="s">
        <v>134</v>
      </c>
      <c r="C57" s="4" t="s">
        <v>8</v>
      </c>
      <c r="D57" s="4" t="s">
        <v>179</v>
      </c>
      <c r="E57" s="4" t="s">
        <v>136</v>
      </c>
      <c r="F57" s="5" t="s">
        <v>2</v>
      </c>
      <c r="G57" s="4" t="s">
        <v>175</v>
      </c>
    </row>
    <row r="58" spans="1:7" s="4" customFormat="1" x14ac:dyDescent="0.25">
      <c r="A58" s="4" t="s">
        <v>180</v>
      </c>
      <c r="B58" s="4" t="s">
        <v>134</v>
      </c>
      <c r="C58" s="4" t="s">
        <v>8</v>
      </c>
      <c r="D58" s="4" t="s">
        <v>181</v>
      </c>
      <c r="E58" s="4" t="s">
        <v>136</v>
      </c>
      <c r="F58" s="5" t="s">
        <v>2</v>
      </c>
      <c r="G58" s="4" t="s">
        <v>140</v>
      </c>
    </row>
    <row r="59" spans="1:7" s="4" customFormat="1" x14ac:dyDescent="0.25">
      <c r="A59" s="4" t="s">
        <v>182</v>
      </c>
      <c r="B59" s="4" t="s">
        <v>134</v>
      </c>
      <c r="C59" s="4" t="s">
        <v>8</v>
      </c>
      <c r="D59" s="4" t="s">
        <v>183</v>
      </c>
      <c r="E59" s="4" t="s">
        <v>136</v>
      </c>
      <c r="F59" s="5" t="s">
        <v>2</v>
      </c>
      <c r="G59" s="4" t="s">
        <v>184</v>
      </c>
    </row>
    <row r="60" spans="1:7" s="4" customFormat="1" x14ac:dyDescent="0.25">
      <c r="A60" s="4" t="s">
        <v>185</v>
      </c>
      <c r="B60" s="4" t="s">
        <v>134</v>
      </c>
      <c r="C60" s="4" t="s">
        <v>8</v>
      </c>
      <c r="D60" s="4" t="s">
        <v>186</v>
      </c>
      <c r="E60" s="4" t="s">
        <v>136</v>
      </c>
      <c r="F60" s="5" t="s">
        <v>2</v>
      </c>
      <c r="G60" s="4" t="s">
        <v>140</v>
      </c>
    </row>
    <row r="61" spans="1:7" s="4" customFormat="1" x14ac:dyDescent="0.25">
      <c r="A61" s="4" t="s">
        <v>187</v>
      </c>
      <c r="B61" s="4" t="s">
        <v>134</v>
      </c>
      <c r="C61" s="4" t="s">
        <v>8</v>
      </c>
      <c r="D61" s="4" t="s">
        <v>188</v>
      </c>
      <c r="E61" s="4" t="s">
        <v>136</v>
      </c>
      <c r="F61" s="5" t="s">
        <v>2</v>
      </c>
      <c r="G61" s="4" t="s">
        <v>140</v>
      </c>
    </row>
    <row r="62" spans="1:7" s="4" customFormat="1" x14ac:dyDescent="0.25">
      <c r="A62" s="4" t="s">
        <v>189</v>
      </c>
      <c r="B62" s="4" t="s">
        <v>134</v>
      </c>
      <c r="C62" s="4" t="s">
        <v>8</v>
      </c>
      <c r="D62" s="4" t="s">
        <v>190</v>
      </c>
      <c r="E62" s="4" t="s">
        <v>136</v>
      </c>
      <c r="F62" s="5" t="s">
        <v>2</v>
      </c>
      <c r="G62" s="4" t="s">
        <v>175</v>
      </c>
    </row>
    <row r="63" spans="1:7" s="4" customFormat="1" x14ac:dyDescent="0.25">
      <c r="A63" s="4" t="s">
        <v>191</v>
      </c>
      <c r="B63" s="4" t="s">
        <v>134</v>
      </c>
      <c r="C63" s="4" t="s">
        <v>8</v>
      </c>
      <c r="D63" s="4" t="s">
        <v>192</v>
      </c>
      <c r="E63" s="4" t="s">
        <v>136</v>
      </c>
      <c r="F63" s="5" t="s">
        <v>2</v>
      </c>
      <c r="G63" s="4" t="s">
        <v>175</v>
      </c>
    </row>
    <row r="64" spans="1:7" s="4" customFormat="1" x14ac:dyDescent="0.25">
      <c r="A64" s="4" t="s">
        <v>193</v>
      </c>
      <c r="B64" s="4" t="s">
        <v>134</v>
      </c>
      <c r="C64" s="4" t="s">
        <v>8</v>
      </c>
      <c r="D64" s="4" t="s">
        <v>194</v>
      </c>
      <c r="E64" s="4" t="s">
        <v>136</v>
      </c>
      <c r="F64" s="5" t="s">
        <v>2</v>
      </c>
      <c r="G64" s="4" t="s">
        <v>140</v>
      </c>
    </row>
    <row r="65" spans="1:7" s="4" customFormat="1" x14ac:dyDescent="0.25">
      <c r="A65" s="4" t="s">
        <v>195</v>
      </c>
      <c r="B65" s="4" t="s">
        <v>134</v>
      </c>
      <c r="C65" s="4" t="s">
        <v>8</v>
      </c>
      <c r="D65" s="4" t="s">
        <v>196</v>
      </c>
      <c r="E65" s="4" t="s">
        <v>136</v>
      </c>
      <c r="F65" s="5" t="s">
        <v>2</v>
      </c>
      <c r="G65" s="4" t="s">
        <v>140</v>
      </c>
    </row>
    <row r="66" spans="1:7" s="4" customFormat="1" x14ac:dyDescent="0.25">
      <c r="A66" s="4" t="s">
        <v>197</v>
      </c>
      <c r="B66" s="4" t="s">
        <v>134</v>
      </c>
      <c r="C66" s="4" t="s">
        <v>8</v>
      </c>
      <c r="D66" s="4" t="s">
        <v>198</v>
      </c>
      <c r="E66" s="4" t="s">
        <v>136</v>
      </c>
      <c r="F66" s="5" t="s">
        <v>2</v>
      </c>
      <c r="G66" s="4" t="s">
        <v>140</v>
      </c>
    </row>
    <row r="67" spans="1:7" s="4" customFormat="1" x14ac:dyDescent="0.25">
      <c r="A67" s="4" t="s">
        <v>199</v>
      </c>
      <c r="B67" s="4" t="s">
        <v>134</v>
      </c>
      <c r="C67" s="4" t="s">
        <v>8</v>
      </c>
      <c r="D67" s="4" t="s">
        <v>200</v>
      </c>
      <c r="E67" s="4" t="s">
        <v>136</v>
      </c>
      <c r="F67" s="5" t="s">
        <v>2</v>
      </c>
      <c r="G67" s="4" t="s">
        <v>184</v>
      </c>
    </row>
    <row r="68" spans="1:7" s="4" customFormat="1" x14ac:dyDescent="0.25">
      <c r="A68" s="4" t="s">
        <v>201</v>
      </c>
      <c r="B68" s="4" t="s">
        <v>134</v>
      </c>
      <c r="C68" s="4" t="s">
        <v>8</v>
      </c>
      <c r="D68" s="4" t="s">
        <v>202</v>
      </c>
      <c r="E68" s="4" t="s">
        <v>203</v>
      </c>
      <c r="F68" s="5" t="s">
        <v>2</v>
      </c>
      <c r="G68" s="4" t="s">
        <v>204</v>
      </c>
    </row>
    <row r="69" spans="1:7" s="4" customFormat="1" x14ac:dyDescent="0.25">
      <c r="A69" s="4" t="s">
        <v>205</v>
      </c>
      <c r="B69" s="4" t="s">
        <v>134</v>
      </c>
      <c r="C69" s="4" t="s">
        <v>8</v>
      </c>
      <c r="D69" s="4" t="s">
        <v>206</v>
      </c>
      <c r="E69" s="4" t="s">
        <v>203</v>
      </c>
      <c r="F69" s="5" t="s">
        <v>2</v>
      </c>
      <c r="G69" s="4" t="s">
        <v>207</v>
      </c>
    </row>
    <row r="70" spans="1:7" s="4" customFormat="1" x14ac:dyDescent="0.25">
      <c r="A70" s="4" t="s">
        <v>208</v>
      </c>
      <c r="B70" s="4" t="s">
        <v>134</v>
      </c>
      <c r="C70" s="4" t="s">
        <v>8</v>
      </c>
      <c r="D70" s="4" t="s">
        <v>209</v>
      </c>
      <c r="E70" s="4" t="s">
        <v>203</v>
      </c>
      <c r="F70" s="5" t="s">
        <v>2</v>
      </c>
      <c r="G70" s="4" t="s">
        <v>210</v>
      </c>
    </row>
    <row r="71" spans="1:7" s="4" customFormat="1" x14ac:dyDescent="0.25">
      <c r="A71" s="4" t="s">
        <v>211</v>
      </c>
      <c r="B71" s="4" t="s">
        <v>134</v>
      </c>
      <c r="C71" s="4" t="s">
        <v>8</v>
      </c>
      <c r="D71" s="4" t="s">
        <v>212</v>
      </c>
      <c r="E71" s="4" t="s">
        <v>203</v>
      </c>
      <c r="F71" s="5" t="s">
        <v>2</v>
      </c>
      <c r="G71" s="4" t="s">
        <v>213</v>
      </c>
    </row>
    <row r="72" spans="1:7" s="4" customFormat="1" x14ac:dyDescent="0.25">
      <c r="A72" s="4" t="s">
        <v>214</v>
      </c>
      <c r="B72" s="4" t="s">
        <v>134</v>
      </c>
      <c r="C72" s="4" t="s">
        <v>8</v>
      </c>
      <c r="D72" s="4" t="s">
        <v>215</v>
      </c>
      <c r="E72" s="4" t="s">
        <v>203</v>
      </c>
      <c r="F72" s="5" t="s">
        <v>2</v>
      </c>
      <c r="G72" s="4" t="s">
        <v>216</v>
      </c>
    </row>
    <row r="73" spans="1:7" s="4" customFormat="1" x14ac:dyDescent="0.25">
      <c r="A73" s="4" t="s">
        <v>217</v>
      </c>
      <c r="B73" s="4" t="s">
        <v>134</v>
      </c>
      <c r="C73" s="4" t="s">
        <v>8</v>
      </c>
      <c r="D73" s="4" t="s">
        <v>218</v>
      </c>
      <c r="E73" s="4" t="s">
        <v>203</v>
      </c>
      <c r="F73" s="5" t="s">
        <v>2</v>
      </c>
      <c r="G73" s="4" t="s">
        <v>219</v>
      </c>
    </row>
    <row r="74" spans="1:7" s="4" customFormat="1" x14ac:dyDescent="0.25">
      <c r="A74" s="4" t="s">
        <v>220</v>
      </c>
      <c r="B74" s="4" t="s">
        <v>134</v>
      </c>
      <c r="C74" s="4" t="s">
        <v>8</v>
      </c>
      <c r="D74" s="4" t="s">
        <v>221</v>
      </c>
      <c r="E74" s="4" t="s">
        <v>203</v>
      </c>
      <c r="F74" s="5" t="s">
        <v>2</v>
      </c>
      <c r="G74" s="4" t="s">
        <v>222</v>
      </c>
    </row>
    <row r="75" spans="1:7" s="4" customFormat="1" x14ac:dyDescent="0.25">
      <c r="A75" s="4" t="s">
        <v>223</v>
      </c>
      <c r="B75" s="4" t="s">
        <v>134</v>
      </c>
      <c r="C75" s="4" t="s">
        <v>8</v>
      </c>
      <c r="D75" s="4" t="s">
        <v>224</v>
      </c>
      <c r="E75" s="4" t="s">
        <v>203</v>
      </c>
      <c r="F75" s="5" t="s">
        <v>2</v>
      </c>
      <c r="G75" s="4" t="s">
        <v>225</v>
      </c>
    </row>
    <row r="76" spans="1:7" s="4" customFormat="1" x14ac:dyDescent="0.25">
      <c r="A76" s="4" t="s">
        <v>226</v>
      </c>
      <c r="B76" s="4" t="s">
        <v>134</v>
      </c>
      <c r="C76" s="4" t="s">
        <v>8</v>
      </c>
      <c r="D76" s="4" t="s">
        <v>227</v>
      </c>
      <c r="E76" s="4" t="s">
        <v>203</v>
      </c>
      <c r="F76" s="5" t="s">
        <v>2</v>
      </c>
      <c r="G76" s="4" t="s">
        <v>228</v>
      </c>
    </row>
    <row r="77" spans="1:7" s="4" customFormat="1" x14ac:dyDescent="0.25">
      <c r="A77" s="4" t="s">
        <v>229</v>
      </c>
      <c r="B77" s="4" t="s">
        <v>134</v>
      </c>
      <c r="C77" s="4" t="s">
        <v>8</v>
      </c>
      <c r="D77" s="4" t="s">
        <v>230</v>
      </c>
      <c r="E77" s="4" t="s">
        <v>203</v>
      </c>
      <c r="F77" s="5" t="s">
        <v>2</v>
      </c>
      <c r="G77" s="4" t="s">
        <v>231</v>
      </c>
    </row>
    <row r="78" spans="1:7" s="4" customFormat="1" x14ac:dyDescent="0.25">
      <c r="A78" s="4" t="s">
        <v>232</v>
      </c>
      <c r="B78" s="4" t="s">
        <v>134</v>
      </c>
      <c r="C78" s="4" t="s">
        <v>8</v>
      </c>
      <c r="D78" s="4" t="s">
        <v>233</v>
      </c>
      <c r="E78" s="4" t="s">
        <v>203</v>
      </c>
      <c r="F78" s="5" t="s">
        <v>2</v>
      </c>
      <c r="G78" s="4" t="s">
        <v>234</v>
      </c>
    </row>
    <row r="79" spans="1:7" s="4" customFormat="1" x14ac:dyDescent="0.25">
      <c r="A79" s="4" t="s">
        <v>235</v>
      </c>
      <c r="B79" s="4" t="s">
        <v>134</v>
      </c>
      <c r="C79" s="4" t="s">
        <v>8</v>
      </c>
      <c r="D79" s="4" t="s">
        <v>236</v>
      </c>
      <c r="E79" s="4" t="s">
        <v>203</v>
      </c>
      <c r="F79" s="5" t="s">
        <v>2</v>
      </c>
      <c r="G79" s="4" t="s">
        <v>237</v>
      </c>
    </row>
    <row r="80" spans="1:7" s="4" customFormat="1" x14ac:dyDescent="0.25">
      <c r="A80" s="4" t="s">
        <v>238</v>
      </c>
      <c r="B80" s="4" t="s">
        <v>134</v>
      </c>
      <c r="C80" s="4" t="s">
        <v>8</v>
      </c>
      <c r="D80" s="4" t="s">
        <v>239</v>
      </c>
      <c r="E80" s="4" t="s">
        <v>203</v>
      </c>
      <c r="F80" s="5" t="s">
        <v>2</v>
      </c>
      <c r="G80" s="4" t="s">
        <v>240</v>
      </c>
    </row>
    <row r="81" spans="1:7" s="4" customFormat="1" x14ac:dyDescent="0.25">
      <c r="A81" s="4" t="s">
        <v>241</v>
      </c>
      <c r="B81" s="4" t="s">
        <v>134</v>
      </c>
      <c r="C81" s="4" t="s">
        <v>8</v>
      </c>
      <c r="D81" s="4" t="s">
        <v>242</v>
      </c>
      <c r="E81" s="4" t="s">
        <v>203</v>
      </c>
      <c r="F81" s="5" t="s">
        <v>2</v>
      </c>
      <c r="G81" s="4" t="s">
        <v>243</v>
      </c>
    </row>
    <row r="82" spans="1:7" s="4" customFormat="1" x14ac:dyDescent="0.25">
      <c r="A82" s="4" t="s">
        <v>244</v>
      </c>
      <c r="B82" s="4" t="s">
        <v>134</v>
      </c>
      <c r="C82" s="4" t="s">
        <v>8</v>
      </c>
      <c r="D82" s="4" t="s">
        <v>245</v>
      </c>
      <c r="E82" s="4" t="s">
        <v>246</v>
      </c>
      <c r="F82" s="5" t="s">
        <v>2</v>
      </c>
      <c r="G82" s="4" t="s">
        <v>247</v>
      </c>
    </row>
    <row r="83" spans="1:7" s="4" customFormat="1" x14ac:dyDescent="0.25">
      <c r="A83" s="4" t="s">
        <v>248</v>
      </c>
      <c r="B83" s="4" t="s">
        <v>134</v>
      </c>
      <c r="C83" s="4" t="s">
        <v>8</v>
      </c>
      <c r="D83" s="4" t="s">
        <v>249</v>
      </c>
      <c r="E83" s="4" t="s">
        <v>246</v>
      </c>
      <c r="F83" s="5" t="s">
        <v>2</v>
      </c>
      <c r="G83" s="4" t="s">
        <v>250</v>
      </c>
    </row>
    <row r="84" spans="1:7" s="4" customFormat="1" x14ac:dyDescent="0.25">
      <c r="A84" s="4" t="s">
        <v>251</v>
      </c>
      <c r="B84" s="4" t="s">
        <v>134</v>
      </c>
      <c r="C84" s="4" t="s">
        <v>8</v>
      </c>
      <c r="D84" s="4" t="s">
        <v>252</v>
      </c>
      <c r="E84" s="4" t="s">
        <v>246</v>
      </c>
      <c r="F84" s="5" t="s">
        <v>2</v>
      </c>
      <c r="G84" s="4" t="s">
        <v>253</v>
      </c>
    </row>
    <row r="85" spans="1:7" s="4" customFormat="1" x14ac:dyDescent="0.25">
      <c r="A85" s="4" t="s">
        <v>254</v>
      </c>
      <c r="B85" s="4" t="s">
        <v>134</v>
      </c>
      <c r="C85" s="4" t="s">
        <v>8</v>
      </c>
      <c r="D85" s="4" t="s">
        <v>255</v>
      </c>
      <c r="E85" s="4" t="s">
        <v>246</v>
      </c>
      <c r="F85" s="5" t="s">
        <v>2</v>
      </c>
      <c r="G85" s="4" t="s">
        <v>253</v>
      </c>
    </row>
    <row r="86" spans="1:7" s="4" customFormat="1" x14ac:dyDescent="0.25">
      <c r="A86" s="4" t="s">
        <v>256</v>
      </c>
      <c r="B86" s="4" t="s">
        <v>134</v>
      </c>
      <c r="C86" s="4" t="s">
        <v>8</v>
      </c>
      <c r="D86" s="4" t="s">
        <v>257</v>
      </c>
      <c r="E86" s="4" t="s">
        <v>246</v>
      </c>
      <c r="F86" s="5" t="s">
        <v>2</v>
      </c>
      <c r="G86" s="4" t="s">
        <v>253</v>
      </c>
    </row>
    <row r="87" spans="1:7" s="4" customFormat="1" x14ac:dyDescent="0.25">
      <c r="A87" s="4" t="s">
        <v>258</v>
      </c>
      <c r="B87" s="4" t="s">
        <v>134</v>
      </c>
      <c r="C87" s="4" t="s">
        <v>8</v>
      </c>
      <c r="D87" s="4" t="s">
        <v>259</v>
      </c>
      <c r="E87" s="4" t="s">
        <v>246</v>
      </c>
      <c r="F87" s="5" t="s">
        <v>2</v>
      </c>
      <c r="G87" s="4" t="s">
        <v>260</v>
      </c>
    </row>
    <row r="88" spans="1:7" s="4" customFormat="1" x14ac:dyDescent="0.25">
      <c r="A88" s="4" t="s">
        <v>261</v>
      </c>
      <c r="B88" s="4" t="s">
        <v>134</v>
      </c>
      <c r="C88" s="4" t="s">
        <v>8</v>
      </c>
      <c r="D88" s="4" t="s">
        <v>262</v>
      </c>
      <c r="E88" s="4" t="s">
        <v>246</v>
      </c>
      <c r="F88" s="5" t="s">
        <v>2</v>
      </c>
      <c r="G88" s="4" t="s">
        <v>250</v>
      </c>
    </row>
    <row r="89" spans="1:7" s="4" customFormat="1" x14ac:dyDescent="0.25">
      <c r="A89" s="4" t="s">
        <v>263</v>
      </c>
      <c r="B89" s="4" t="s">
        <v>134</v>
      </c>
      <c r="C89" s="4" t="s">
        <v>8</v>
      </c>
      <c r="D89" s="4" t="s">
        <v>264</v>
      </c>
      <c r="E89" s="4" t="s">
        <v>246</v>
      </c>
      <c r="F89" s="5" t="s">
        <v>2</v>
      </c>
      <c r="G89" s="4" t="s">
        <v>265</v>
      </c>
    </row>
    <row r="90" spans="1:7" s="4" customFormat="1" x14ac:dyDescent="0.25">
      <c r="A90" s="4" t="s">
        <v>266</v>
      </c>
      <c r="B90" s="4" t="s">
        <v>134</v>
      </c>
      <c r="C90" s="4" t="s">
        <v>8</v>
      </c>
      <c r="D90" s="4" t="s">
        <v>267</v>
      </c>
      <c r="E90" s="4" t="s">
        <v>268</v>
      </c>
      <c r="F90" s="5" t="s">
        <v>2</v>
      </c>
      <c r="G90" s="4" t="s">
        <v>269</v>
      </c>
    </row>
    <row r="91" spans="1:7" s="4" customFormat="1" x14ac:dyDescent="0.25">
      <c r="A91" s="4" t="s">
        <v>270</v>
      </c>
      <c r="B91" s="4" t="s">
        <v>134</v>
      </c>
      <c r="C91" s="4" t="s">
        <v>8</v>
      </c>
      <c r="D91" s="4" t="s">
        <v>271</v>
      </c>
      <c r="E91" s="4" t="s">
        <v>268</v>
      </c>
      <c r="F91" s="5" t="s">
        <v>2</v>
      </c>
      <c r="G91" s="4" t="s">
        <v>272</v>
      </c>
    </row>
    <row r="92" spans="1:7" s="4" customFormat="1" x14ac:dyDescent="0.25">
      <c r="A92" s="4" t="s">
        <v>273</v>
      </c>
      <c r="B92" s="4" t="s">
        <v>134</v>
      </c>
      <c r="C92" s="4" t="s">
        <v>8</v>
      </c>
      <c r="D92" s="4" t="s">
        <v>274</v>
      </c>
      <c r="E92" s="4" t="s">
        <v>268</v>
      </c>
      <c r="F92" s="5" t="s">
        <v>2</v>
      </c>
      <c r="G92" s="4" t="s">
        <v>272</v>
      </c>
    </row>
    <row r="93" spans="1:7" s="4" customFormat="1" x14ac:dyDescent="0.25">
      <c r="A93" s="4" t="s">
        <v>275</v>
      </c>
      <c r="B93" s="4" t="s">
        <v>134</v>
      </c>
      <c r="C93" s="4" t="s">
        <v>8</v>
      </c>
      <c r="D93" s="4" t="s">
        <v>276</v>
      </c>
      <c r="E93" s="4" t="s">
        <v>268</v>
      </c>
      <c r="F93" s="5" t="s">
        <v>2</v>
      </c>
      <c r="G93" s="4" t="s">
        <v>277</v>
      </c>
    </row>
    <row r="94" spans="1:7" s="4" customFormat="1" x14ac:dyDescent="0.25">
      <c r="A94" s="4" t="s">
        <v>278</v>
      </c>
      <c r="B94" s="4" t="s">
        <v>134</v>
      </c>
      <c r="C94" s="4" t="s">
        <v>8</v>
      </c>
      <c r="D94" s="4" t="s">
        <v>279</v>
      </c>
      <c r="E94" s="4" t="s">
        <v>268</v>
      </c>
      <c r="F94" s="5" t="s">
        <v>2</v>
      </c>
      <c r="G94" s="4" t="s">
        <v>269</v>
      </c>
    </row>
    <row r="95" spans="1:7" s="4" customFormat="1" x14ac:dyDescent="0.25">
      <c r="A95" s="4" t="s">
        <v>280</v>
      </c>
      <c r="B95" s="4" t="s">
        <v>134</v>
      </c>
      <c r="C95" s="4" t="s">
        <v>8</v>
      </c>
      <c r="D95" s="4" t="s">
        <v>281</v>
      </c>
      <c r="E95" s="4" t="s">
        <v>268</v>
      </c>
      <c r="F95" s="5" t="s">
        <v>2</v>
      </c>
      <c r="G95" s="4" t="s">
        <v>277</v>
      </c>
    </row>
    <row r="96" spans="1:7" s="4" customFormat="1" x14ac:dyDescent="0.25">
      <c r="A96" s="4" t="s">
        <v>282</v>
      </c>
      <c r="B96" s="4" t="s">
        <v>134</v>
      </c>
      <c r="C96" s="4" t="s">
        <v>8</v>
      </c>
      <c r="D96" s="4" t="s">
        <v>283</v>
      </c>
      <c r="E96" s="4" t="s">
        <v>268</v>
      </c>
      <c r="F96" s="5" t="s">
        <v>2</v>
      </c>
      <c r="G96" s="4" t="s">
        <v>272</v>
      </c>
    </row>
    <row r="97" spans="1:7" s="4" customFormat="1" x14ac:dyDescent="0.25">
      <c r="A97" s="4" t="s">
        <v>284</v>
      </c>
      <c r="B97" s="4" t="s">
        <v>134</v>
      </c>
      <c r="C97" s="4" t="s">
        <v>8</v>
      </c>
      <c r="D97" s="4" t="s">
        <v>285</v>
      </c>
      <c r="E97" s="4" t="s">
        <v>268</v>
      </c>
      <c r="F97" s="5" t="s">
        <v>2</v>
      </c>
      <c r="G97" s="4" t="s">
        <v>272</v>
      </c>
    </row>
    <row r="98" spans="1:7" s="4" customFormat="1" x14ac:dyDescent="0.25">
      <c r="A98" s="4" t="s">
        <v>286</v>
      </c>
      <c r="B98" s="4" t="s">
        <v>134</v>
      </c>
      <c r="C98" s="4" t="s">
        <v>8</v>
      </c>
      <c r="D98" s="4" t="s">
        <v>287</v>
      </c>
      <c r="E98" s="4" t="s">
        <v>268</v>
      </c>
      <c r="F98" s="5" t="s">
        <v>2</v>
      </c>
      <c r="G98" s="4" t="s">
        <v>272</v>
      </c>
    </row>
    <row r="99" spans="1:7" s="4" customFormat="1" x14ac:dyDescent="0.25">
      <c r="A99" s="4" t="s">
        <v>288</v>
      </c>
      <c r="B99" s="4" t="s">
        <v>134</v>
      </c>
      <c r="C99" s="4" t="s">
        <v>8</v>
      </c>
      <c r="D99" s="4" t="s">
        <v>289</v>
      </c>
      <c r="E99" s="4" t="s">
        <v>268</v>
      </c>
      <c r="F99" s="5" t="s">
        <v>2</v>
      </c>
      <c r="G99" s="4" t="s">
        <v>277</v>
      </c>
    </row>
    <row r="100" spans="1:7" s="4" customFormat="1" x14ac:dyDescent="0.25">
      <c r="A100" s="4" t="s">
        <v>290</v>
      </c>
      <c r="B100" s="4" t="s">
        <v>134</v>
      </c>
      <c r="C100" s="4" t="s">
        <v>8</v>
      </c>
      <c r="D100" s="4" t="s">
        <v>291</v>
      </c>
      <c r="E100" s="4" t="s">
        <v>268</v>
      </c>
      <c r="F100" s="5" t="s">
        <v>2</v>
      </c>
      <c r="G100" s="4" t="s">
        <v>272</v>
      </c>
    </row>
    <row r="101" spans="1:7" s="4" customFormat="1" x14ac:dyDescent="0.25">
      <c r="A101" s="4" t="s">
        <v>292</v>
      </c>
      <c r="B101" s="4" t="s">
        <v>134</v>
      </c>
      <c r="C101" s="4" t="s">
        <v>8</v>
      </c>
      <c r="D101" s="4" t="s">
        <v>293</v>
      </c>
      <c r="E101" s="4" t="s">
        <v>268</v>
      </c>
      <c r="F101" s="5" t="s">
        <v>2</v>
      </c>
      <c r="G101" s="4" t="s">
        <v>272</v>
      </c>
    </row>
    <row r="102" spans="1:7" s="4" customFormat="1" x14ac:dyDescent="0.25">
      <c r="A102" s="4" t="s">
        <v>294</v>
      </c>
      <c r="B102" s="4" t="s">
        <v>134</v>
      </c>
      <c r="C102" s="4" t="s">
        <v>8</v>
      </c>
      <c r="D102" s="4" t="s">
        <v>295</v>
      </c>
      <c r="E102" s="4" t="s">
        <v>268</v>
      </c>
      <c r="F102" s="5" t="s">
        <v>2</v>
      </c>
      <c r="G102" s="4" t="s">
        <v>277</v>
      </c>
    </row>
    <row r="103" spans="1:7" s="4" customFormat="1" x14ac:dyDescent="0.25">
      <c r="A103" s="4" t="s">
        <v>296</v>
      </c>
      <c r="B103" s="4" t="s">
        <v>134</v>
      </c>
      <c r="C103" s="4" t="s">
        <v>8</v>
      </c>
      <c r="D103" s="4" t="s">
        <v>297</v>
      </c>
      <c r="E103" s="4" t="s">
        <v>268</v>
      </c>
      <c r="F103" s="5" t="s">
        <v>2</v>
      </c>
      <c r="G103" s="4" t="s">
        <v>272</v>
      </c>
    </row>
    <row r="104" spans="1:7" s="4" customFormat="1" x14ac:dyDescent="0.25">
      <c r="A104" s="4" t="s">
        <v>298</v>
      </c>
      <c r="B104" s="4" t="s">
        <v>134</v>
      </c>
      <c r="C104" s="4" t="s">
        <v>8</v>
      </c>
      <c r="D104" s="4" t="s">
        <v>299</v>
      </c>
      <c r="E104" s="4" t="s">
        <v>268</v>
      </c>
      <c r="F104" s="5" t="s">
        <v>2</v>
      </c>
      <c r="G104" s="4" t="s">
        <v>300</v>
      </c>
    </row>
    <row r="105" spans="1:7" s="4" customFormat="1" x14ac:dyDescent="0.25">
      <c r="A105" s="4" t="s">
        <v>301</v>
      </c>
      <c r="B105" s="4" t="s">
        <v>134</v>
      </c>
      <c r="C105" s="4" t="s">
        <v>8</v>
      </c>
      <c r="D105" s="4" t="s">
        <v>302</v>
      </c>
      <c r="E105" s="4" t="s">
        <v>268</v>
      </c>
      <c r="F105" s="5" t="s">
        <v>2</v>
      </c>
      <c r="G105" s="4" t="s">
        <v>303</v>
      </c>
    </row>
    <row r="106" spans="1:7" s="4" customFormat="1" x14ac:dyDescent="0.25">
      <c r="A106" s="4" t="s">
        <v>304</v>
      </c>
      <c r="B106" s="4" t="s">
        <v>134</v>
      </c>
      <c r="C106" s="4" t="s">
        <v>8</v>
      </c>
      <c r="D106" s="4" t="s">
        <v>305</v>
      </c>
      <c r="E106" s="4" t="s">
        <v>268</v>
      </c>
      <c r="F106" s="5" t="s">
        <v>2</v>
      </c>
      <c r="G106" s="4" t="s">
        <v>306</v>
      </c>
    </row>
    <row r="107" spans="1:7" s="4" customFormat="1" x14ac:dyDescent="0.25">
      <c r="A107" s="4" t="s">
        <v>307</v>
      </c>
      <c r="B107" s="4" t="s">
        <v>134</v>
      </c>
      <c r="C107" s="4" t="s">
        <v>8</v>
      </c>
      <c r="D107" s="4" t="s">
        <v>308</v>
      </c>
      <c r="E107" s="4" t="s">
        <v>246</v>
      </c>
      <c r="F107" s="5" t="s">
        <v>2</v>
      </c>
      <c r="G107" s="4" t="s">
        <v>309</v>
      </c>
    </row>
    <row r="108" spans="1:7" s="4" customFormat="1" x14ac:dyDescent="0.25">
      <c r="A108" s="4" t="s">
        <v>310</v>
      </c>
      <c r="B108" s="4" t="s">
        <v>134</v>
      </c>
      <c r="C108" s="4" t="s">
        <v>8</v>
      </c>
      <c r="D108" s="4" t="s">
        <v>311</v>
      </c>
      <c r="E108" s="4" t="s">
        <v>246</v>
      </c>
      <c r="F108" s="5" t="s">
        <v>2</v>
      </c>
      <c r="G108" s="4" t="s">
        <v>312</v>
      </c>
    </row>
    <row r="109" spans="1:7" s="4" customFormat="1" x14ac:dyDescent="0.25">
      <c r="A109" s="4" t="s">
        <v>313</v>
      </c>
      <c r="B109" s="4" t="s">
        <v>134</v>
      </c>
      <c r="C109" s="4" t="s">
        <v>8</v>
      </c>
      <c r="D109" s="4" t="s">
        <v>314</v>
      </c>
      <c r="E109" s="4" t="s">
        <v>246</v>
      </c>
      <c r="F109" s="5" t="s">
        <v>2</v>
      </c>
      <c r="G109" s="4" t="s">
        <v>315</v>
      </c>
    </row>
    <row r="110" spans="1:7" s="4" customFormat="1" x14ac:dyDescent="0.25">
      <c r="A110" s="4" t="s">
        <v>316</v>
      </c>
      <c r="B110" s="4" t="s">
        <v>134</v>
      </c>
      <c r="C110" s="4" t="s">
        <v>8</v>
      </c>
      <c r="D110" s="4" t="s">
        <v>317</v>
      </c>
      <c r="E110" s="4" t="s">
        <v>246</v>
      </c>
      <c r="F110" s="5" t="s">
        <v>2</v>
      </c>
      <c r="G110" s="4" t="s">
        <v>318</v>
      </c>
    </row>
    <row r="111" spans="1:7" s="4" customFormat="1" x14ac:dyDescent="0.25">
      <c r="A111" s="4" t="s">
        <v>319</v>
      </c>
      <c r="B111" s="4" t="s">
        <v>134</v>
      </c>
      <c r="C111" s="4" t="s">
        <v>8</v>
      </c>
      <c r="D111" s="4" t="s">
        <v>320</v>
      </c>
      <c r="E111" s="4" t="s">
        <v>246</v>
      </c>
      <c r="F111" s="5" t="s">
        <v>2</v>
      </c>
      <c r="G111" s="4" t="s">
        <v>321</v>
      </c>
    </row>
    <row r="112" spans="1:7" s="4" customFormat="1" x14ac:dyDescent="0.25">
      <c r="A112" s="4" t="s">
        <v>322</v>
      </c>
      <c r="B112" s="4" t="s">
        <v>134</v>
      </c>
      <c r="C112" s="4" t="s">
        <v>8</v>
      </c>
      <c r="D112" s="4" t="s">
        <v>323</v>
      </c>
      <c r="E112" s="4" t="s">
        <v>324</v>
      </c>
      <c r="F112" s="5" t="s">
        <v>2</v>
      </c>
      <c r="G112" s="4" t="s">
        <v>325</v>
      </c>
    </row>
    <row r="113" spans="1:7" s="4" customFormat="1" x14ac:dyDescent="0.25">
      <c r="A113" s="4" t="s">
        <v>326</v>
      </c>
      <c r="B113" s="4" t="s">
        <v>134</v>
      </c>
      <c r="C113" s="4" t="s">
        <v>8</v>
      </c>
      <c r="D113" s="4" t="s">
        <v>327</v>
      </c>
      <c r="E113" s="4" t="s">
        <v>324</v>
      </c>
      <c r="F113" s="5" t="s">
        <v>2</v>
      </c>
      <c r="G113" s="4" t="s">
        <v>325</v>
      </c>
    </row>
    <row r="114" spans="1:7" s="4" customFormat="1" x14ac:dyDescent="0.25">
      <c r="A114" s="4" t="s">
        <v>328</v>
      </c>
      <c r="B114" s="4" t="s">
        <v>134</v>
      </c>
      <c r="C114" s="4" t="s">
        <v>8</v>
      </c>
      <c r="D114" s="4" t="s">
        <v>329</v>
      </c>
      <c r="E114" s="4" t="s">
        <v>324</v>
      </c>
      <c r="F114" s="5" t="s">
        <v>2</v>
      </c>
      <c r="G114" s="4" t="s">
        <v>330</v>
      </c>
    </row>
    <row r="115" spans="1:7" s="4" customFormat="1" x14ac:dyDescent="0.25">
      <c r="A115" s="4" t="s">
        <v>331</v>
      </c>
      <c r="B115" s="4" t="s">
        <v>134</v>
      </c>
      <c r="C115" s="4" t="s">
        <v>8</v>
      </c>
      <c r="D115" s="4" t="s">
        <v>332</v>
      </c>
      <c r="E115" s="4" t="s">
        <v>324</v>
      </c>
      <c r="F115" s="5" t="s">
        <v>2</v>
      </c>
      <c r="G115" s="4" t="s">
        <v>330</v>
      </c>
    </row>
    <row r="116" spans="1:7" s="4" customFormat="1" x14ac:dyDescent="0.25">
      <c r="A116" s="4" t="s">
        <v>333</v>
      </c>
      <c r="B116" s="4" t="s">
        <v>134</v>
      </c>
      <c r="C116" s="4" t="s">
        <v>8</v>
      </c>
      <c r="D116" s="4" t="s">
        <v>334</v>
      </c>
      <c r="E116" s="4" t="s">
        <v>324</v>
      </c>
      <c r="F116" s="5" t="s">
        <v>2</v>
      </c>
      <c r="G116" s="4" t="s">
        <v>330</v>
      </c>
    </row>
    <row r="117" spans="1:7" s="4" customFormat="1" x14ac:dyDescent="0.25">
      <c r="A117" s="4" t="s">
        <v>335</v>
      </c>
      <c r="B117" s="4" t="s">
        <v>134</v>
      </c>
      <c r="C117" s="4" t="s">
        <v>8</v>
      </c>
      <c r="D117" s="4" t="s">
        <v>336</v>
      </c>
      <c r="E117" s="4" t="s">
        <v>324</v>
      </c>
      <c r="F117" s="5" t="s">
        <v>2</v>
      </c>
      <c r="G117" s="4" t="s">
        <v>330</v>
      </c>
    </row>
    <row r="118" spans="1:7" s="4" customFormat="1" x14ac:dyDescent="0.25">
      <c r="A118" s="4" t="s">
        <v>337</v>
      </c>
      <c r="B118" s="4" t="s">
        <v>134</v>
      </c>
      <c r="C118" s="4" t="s">
        <v>8</v>
      </c>
      <c r="D118" s="4" t="s">
        <v>338</v>
      </c>
      <c r="E118" s="4" t="s">
        <v>324</v>
      </c>
      <c r="F118" s="5" t="s">
        <v>2</v>
      </c>
      <c r="G118" s="4" t="s">
        <v>330</v>
      </c>
    </row>
    <row r="119" spans="1:7" s="4" customFormat="1" x14ac:dyDescent="0.25">
      <c r="A119" s="4" t="s">
        <v>339</v>
      </c>
      <c r="B119" s="4" t="s">
        <v>134</v>
      </c>
      <c r="C119" s="4" t="s">
        <v>8</v>
      </c>
      <c r="D119" s="4" t="s">
        <v>340</v>
      </c>
      <c r="E119" s="4" t="s">
        <v>324</v>
      </c>
      <c r="F119" s="5" t="s">
        <v>2</v>
      </c>
      <c r="G119" s="4" t="s">
        <v>330</v>
      </c>
    </row>
    <row r="120" spans="1:7" s="4" customFormat="1" x14ac:dyDescent="0.25">
      <c r="A120" s="4" t="s">
        <v>341</v>
      </c>
      <c r="B120" s="4" t="s">
        <v>134</v>
      </c>
      <c r="C120" s="4" t="s">
        <v>8</v>
      </c>
      <c r="D120" s="4" t="s">
        <v>342</v>
      </c>
      <c r="E120" s="4" t="s">
        <v>324</v>
      </c>
      <c r="F120" s="5" t="s">
        <v>2</v>
      </c>
      <c r="G120" s="4" t="s">
        <v>343</v>
      </c>
    </row>
    <row r="121" spans="1:7" s="4" customFormat="1" x14ac:dyDescent="0.25">
      <c r="A121" s="4" t="s">
        <v>344</v>
      </c>
      <c r="B121" s="4" t="s">
        <v>134</v>
      </c>
      <c r="C121" s="4" t="s">
        <v>8</v>
      </c>
      <c r="D121" s="4" t="s">
        <v>345</v>
      </c>
      <c r="E121" s="4" t="s">
        <v>324</v>
      </c>
      <c r="F121" s="5" t="s">
        <v>2</v>
      </c>
      <c r="G121" s="4" t="s">
        <v>346</v>
      </c>
    </row>
    <row r="122" spans="1:7" s="4" customFormat="1" x14ac:dyDescent="0.25">
      <c r="A122" s="4" t="s">
        <v>347</v>
      </c>
      <c r="B122" s="4" t="s">
        <v>134</v>
      </c>
      <c r="C122" s="4" t="s">
        <v>8</v>
      </c>
      <c r="D122" s="4" t="s">
        <v>348</v>
      </c>
      <c r="E122" s="4" t="s">
        <v>324</v>
      </c>
      <c r="F122" s="5" t="s">
        <v>2</v>
      </c>
      <c r="G122" s="4" t="s">
        <v>346</v>
      </c>
    </row>
    <row r="123" spans="1:7" s="4" customFormat="1" x14ac:dyDescent="0.25">
      <c r="A123" s="4" t="s">
        <v>349</v>
      </c>
      <c r="B123" s="4" t="s">
        <v>134</v>
      </c>
      <c r="C123" s="4" t="s">
        <v>8</v>
      </c>
      <c r="D123" s="4" t="s">
        <v>350</v>
      </c>
      <c r="E123" s="4" t="s">
        <v>324</v>
      </c>
      <c r="F123" s="5" t="s">
        <v>2</v>
      </c>
      <c r="G123" s="4" t="s">
        <v>330</v>
      </c>
    </row>
    <row r="124" spans="1:7" s="4" customFormat="1" x14ac:dyDescent="0.25">
      <c r="A124" s="4" t="s">
        <v>351</v>
      </c>
      <c r="B124" s="4" t="s">
        <v>134</v>
      </c>
      <c r="C124" s="4" t="s">
        <v>8</v>
      </c>
      <c r="D124" s="4" t="s">
        <v>352</v>
      </c>
      <c r="E124" s="4" t="s">
        <v>324</v>
      </c>
      <c r="F124" s="5" t="s">
        <v>2</v>
      </c>
      <c r="G124" s="4" t="s">
        <v>330</v>
      </c>
    </row>
    <row r="125" spans="1:7" s="4" customFormat="1" x14ac:dyDescent="0.25">
      <c r="A125" s="4" t="s">
        <v>353</v>
      </c>
      <c r="B125" s="4" t="s">
        <v>134</v>
      </c>
      <c r="C125" s="4" t="s">
        <v>8</v>
      </c>
      <c r="D125" s="4" t="s">
        <v>354</v>
      </c>
      <c r="E125" s="4" t="s">
        <v>324</v>
      </c>
      <c r="F125" s="5" t="s">
        <v>2</v>
      </c>
      <c r="G125" s="4" t="s">
        <v>346</v>
      </c>
    </row>
    <row r="126" spans="1:7" s="4" customFormat="1" x14ac:dyDescent="0.25">
      <c r="A126" s="4" t="s">
        <v>355</v>
      </c>
      <c r="B126" s="4" t="s">
        <v>134</v>
      </c>
      <c r="C126" s="4" t="s">
        <v>8</v>
      </c>
      <c r="D126" s="4" t="s">
        <v>356</v>
      </c>
      <c r="E126" s="4" t="s">
        <v>324</v>
      </c>
      <c r="F126" s="5" t="s">
        <v>2</v>
      </c>
      <c r="G126" s="4" t="s">
        <v>357</v>
      </c>
    </row>
    <row r="127" spans="1:7" s="4" customFormat="1" x14ac:dyDescent="0.25">
      <c r="A127" s="4" t="s">
        <v>358</v>
      </c>
      <c r="B127" s="4" t="s">
        <v>134</v>
      </c>
      <c r="C127" s="4" t="s">
        <v>8</v>
      </c>
      <c r="D127" s="4" t="s">
        <v>359</v>
      </c>
      <c r="E127" s="4" t="s">
        <v>324</v>
      </c>
      <c r="F127" s="5" t="s">
        <v>2</v>
      </c>
      <c r="G127" s="4" t="s">
        <v>325</v>
      </c>
    </row>
    <row r="128" spans="1:7" s="4" customFormat="1" x14ac:dyDescent="0.25">
      <c r="A128" s="4" t="s">
        <v>360</v>
      </c>
      <c r="B128" s="4" t="s">
        <v>134</v>
      </c>
      <c r="C128" s="4" t="s">
        <v>8</v>
      </c>
      <c r="D128" s="4" t="s">
        <v>361</v>
      </c>
      <c r="E128" s="4" t="s">
        <v>324</v>
      </c>
      <c r="F128" s="5" t="s">
        <v>2</v>
      </c>
      <c r="G128" s="4" t="s">
        <v>330</v>
      </c>
    </row>
    <row r="129" spans="1:7" s="4" customFormat="1" x14ac:dyDescent="0.25">
      <c r="A129" s="4" t="s">
        <v>362</v>
      </c>
      <c r="B129" s="4" t="s">
        <v>134</v>
      </c>
      <c r="C129" s="4" t="s">
        <v>8</v>
      </c>
      <c r="D129" s="4" t="s">
        <v>363</v>
      </c>
      <c r="E129" s="4" t="s">
        <v>324</v>
      </c>
      <c r="F129" s="5" t="s">
        <v>2</v>
      </c>
      <c r="G129" s="4" t="s">
        <v>325</v>
      </c>
    </row>
    <row r="130" spans="1:7" s="4" customFormat="1" x14ac:dyDescent="0.25">
      <c r="A130" s="4" t="s">
        <v>364</v>
      </c>
      <c r="B130" s="4" t="s">
        <v>134</v>
      </c>
      <c r="C130" s="4" t="s">
        <v>8</v>
      </c>
      <c r="D130" s="4" t="s">
        <v>365</v>
      </c>
      <c r="E130" s="4" t="s">
        <v>324</v>
      </c>
      <c r="F130" s="5" t="s">
        <v>2</v>
      </c>
      <c r="G130" s="4" t="s">
        <v>330</v>
      </c>
    </row>
    <row r="131" spans="1:7" s="4" customFormat="1" x14ac:dyDescent="0.25">
      <c r="A131" s="4" t="s">
        <v>366</v>
      </c>
      <c r="B131" s="4" t="s">
        <v>134</v>
      </c>
      <c r="C131" s="4" t="s">
        <v>8</v>
      </c>
      <c r="D131" s="4" t="s">
        <v>367</v>
      </c>
      <c r="E131" s="4" t="s">
        <v>324</v>
      </c>
      <c r="F131" s="5" t="s">
        <v>2</v>
      </c>
      <c r="G131" s="4" t="s">
        <v>330</v>
      </c>
    </row>
    <row r="132" spans="1:7" s="4" customFormat="1" x14ac:dyDescent="0.25">
      <c r="A132" s="4" t="s">
        <v>368</v>
      </c>
      <c r="B132" s="4" t="s">
        <v>134</v>
      </c>
      <c r="C132" s="4" t="s">
        <v>8</v>
      </c>
      <c r="D132" s="4" t="s">
        <v>369</v>
      </c>
      <c r="E132" s="4" t="s">
        <v>324</v>
      </c>
      <c r="F132" s="5" t="s">
        <v>2</v>
      </c>
      <c r="G132" s="4" t="s">
        <v>370</v>
      </c>
    </row>
    <row r="133" spans="1:7" s="4" customFormat="1" x14ac:dyDescent="0.25">
      <c r="A133" s="4" t="s">
        <v>371</v>
      </c>
      <c r="B133" s="4" t="s">
        <v>134</v>
      </c>
      <c r="C133" s="4" t="s">
        <v>8</v>
      </c>
      <c r="D133" s="4" t="s">
        <v>372</v>
      </c>
      <c r="E133" s="4" t="s">
        <v>324</v>
      </c>
      <c r="F133" s="5" t="s">
        <v>2</v>
      </c>
      <c r="G133" s="4" t="s">
        <v>330</v>
      </c>
    </row>
    <row r="134" spans="1:7" s="4" customFormat="1" x14ac:dyDescent="0.25">
      <c r="A134" s="4" t="s">
        <v>373</v>
      </c>
      <c r="B134" s="4" t="s">
        <v>134</v>
      </c>
      <c r="C134" s="4" t="s">
        <v>8</v>
      </c>
      <c r="D134" s="4" t="s">
        <v>374</v>
      </c>
      <c r="E134" s="4" t="s">
        <v>324</v>
      </c>
      <c r="F134" s="5" t="s">
        <v>2</v>
      </c>
      <c r="G134" s="4" t="s">
        <v>346</v>
      </c>
    </row>
    <row r="135" spans="1:7" s="4" customFormat="1" x14ac:dyDescent="0.25">
      <c r="A135" s="4" t="s">
        <v>375</v>
      </c>
      <c r="B135" s="4" t="s">
        <v>134</v>
      </c>
      <c r="C135" s="4" t="s">
        <v>8</v>
      </c>
      <c r="D135" s="4" t="s">
        <v>376</v>
      </c>
      <c r="E135" s="4" t="s">
        <v>324</v>
      </c>
      <c r="F135" s="5" t="s">
        <v>2</v>
      </c>
      <c r="G135" s="4" t="s">
        <v>377</v>
      </c>
    </row>
    <row r="136" spans="1:7" s="4" customFormat="1" x14ac:dyDescent="0.25">
      <c r="A136" s="4" t="s">
        <v>378</v>
      </c>
      <c r="B136" s="4" t="s">
        <v>134</v>
      </c>
      <c r="C136" s="4" t="s">
        <v>8</v>
      </c>
      <c r="D136" s="4" t="s">
        <v>379</v>
      </c>
      <c r="E136" s="4" t="s">
        <v>324</v>
      </c>
      <c r="F136" s="5" t="s">
        <v>2</v>
      </c>
      <c r="G136" s="4" t="s">
        <v>380</v>
      </c>
    </row>
    <row r="137" spans="1:7" s="4" customFormat="1" x14ac:dyDescent="0.25">
      <c r="A137" s="4" t="s">
        <v>381</v>
      </c>
      <c r="B137" s="4" t="s">
        <v>134</v>
      </c>
      <c r="C137" s="4" t="s">
        <v>8</v>
      </c>
      <c r="D137" s="4" t="s">
        <v>382</v>
      </c>
      <c r="E137" s="4" t="s">
        <v>324</v>
      </c>
      <c r="F137" s="5" t="s">
        <v>2</v>
      </c>
      <c r="G137" s="4" t="s">
        <v>346</v>
      </c>
    </row>
    <row r="138" spans="1:7" s="4" customFormat="1" x14ac:dyDescent="0.25">
      <c r="A138" s="4" t="s">
        <v>383</v>
      </c>
      <c r="B138" s="4" t="s">
        <v>134</v>
      </c>
      <c r="C138" s="4" t="s">
        <v>8</v>
      </c>
      <c r="D138" s="4" t="s">
        <v>384</v>
      </c>
      <c r="E138" s="4" t="s">
        <v>324</v>
      </c>
      <c r="F138" s="5" t="s">
        <v>2</v>
      </c>
      <c r="G138" s="4" t="s">
        <v>346</v>
      </c>
    </row>
    <row r="139" spans="1:7" s="4" customFormat="1" x14ac:dyDescent="0.25">
      <c r="A139" s="4" t="s">
        <v>385</v>
      </c>
      <c r="B139" s="4" t="s">
        <v>134</v>
      </c>
      <c r="C139" s="4" t="s">
        <v>8</v>
      </c>
      <c r="D139" s="4" t="s">
        <v>386</v>
      </c>
      <c r="E139" s="4" t="s">
        <v>324</v>
      </c>
      <c r="F139" s="5" t="s">
        <v>2</v>
      </c>
      <c r="G139" s="4" t="s">
        <v>325</v>
      </c>
    </row>
    <row r="140" spans="1:7" s="4" customFormat="1" x14ac:dyDescent="0.25">
      <c r="A140" s="4" t="s">
        <v>387</v>
      </c>
      <c r="B140" s="4" t="s">
        <v>134</v>
      </c>
      <c r="C140" s="4" t="s">
        <v>8</v>
      </c>
      <c r="D140" s="4" t="s">
        <v>388</v>
      </c>
      <c r="E140" s="4" t="s">
        <v>324</v>
      </c>
      <c r="F140" s="5" t="s">
        <v>2</v>
      </c>
      <c r="G140" s="4" t="s">
        <v>346</v>
      </c>
    </row>
    <row r="141" spans="1:7" s="4" customFormat="1" x14ac:dyDescent="0.25">
      <c r="A141" s="4" t="s">
        <v>389</v>
      </c>
      <c r="B141" s="4" t="s">
        <v>134</v>
      </c>
      <c r="C141" s="4" t="s">
        <v>8</v>
      </c>
      <c r="D141" s="4" t="s">
        <v>390</v>
      </c>
      <c r="E141" s="4" t="s">
        <v>324</v>
      </c>
      <c r="F141" s="5" t="s">
        <v>2</v>
      </c>
      <c r="G141" s="4" t="s">
        <v>346</v>
      </c>
    </row>
    <row r="142" spans="1:7" s="4" customFormat="1" x14ac:dyDescent="0.25">
      <c r="A142" s="4" t="s">
        <v>391</v>
      </c>
      <c r="B142" s="4" t="s">
        <v>134</v>
      </c>
      <c r="C142" s="4" t="s">
        <v>8</v>
      </c>
      <c r="D142" s="4" t="s">
        <v>392</v>
      </c>
      <c r="E142" s="4" t="s">
        <v>324</v>
      </c>
      <c r="F142" s="5" t="s">
        <v>2</v>
      </c>
      <c r="G142" s="4" t="s">
        <v>330</v>
      </c>
    </row>
    <row r="143" spans="1:7" s="4" customFormat="1" x14ac:dyDescent="0.25">
      <c r="A143" s="4" t="s">
        <v>393</v>
      </c>
      <c r="B143" s="4" t="s">
        <v>134</v>
      </c>
      <c r="C143" s="4" t="s">
        <v>8</v>
      </c>
      <c r="D143" s="4" t="s">
        <v>394</v>
      </c>
      <c r="E143" s="4" t="s">
        <v>324</v>
      </c>
      <c r="F143" s="5" t="s">
        <v>2</v>
      </c>
      <c r="G143" s="4" t="s">
        <v>330</v>
      </c>
    </row>
    <row r="144" spans="1:7" s="4" customFormat="1" x14ac:dyDescent="0.25">
      <c r="A144" s="4" t="s">
        <v>395</v>
      </c>
      <c r="B144" s="4" t="s">
        <v>134</v>
      </c>
      <c r="C144" s="4" t="s">
        <v>8</v>
      </c>
      <c r="D144" s="4" t="s">
        <v>396</v>
      </c>
      <c r="E144" s="4" t="s">
        <v>324</v>
      </c>
      <c r="F144" s="5" t="s">
        <v>2</v>
      </c>
      <c r="G144" s="4" t="s">
        <v>330</v>
      </c>
    </row>
    <row r="145" spans="1:7" s="4" customFormat="1" x14ac:dyDescent="0.25">
      <c r="A145" s="4" t="s">
        <v>397</v>
      </c>
      <c r="B145" s="4" t="s">
        <v>134</v>
      </c>
      <c r="C145" s="4" t="s">
        <v>8</v>
      </c>
      <c r="D145" s="4" t="s">
        <v>398</v>
      </c>
      <c r="E145" s="4" t="s">
        <v>324</v>
      </c>
      <c r="F145" s="5" t="s">
        <v>2</v>
      </c>
      <c r="G145" s="4" t="s">
        <v>330</v>
      </c>
    </row>
    <row r="146" spans="1:7" s="4" customFormat="1" x14ac:dyDescent="0.25">
      <c r="A146" s="4" t="s">
        <v>399</v>
      </c>
      <c r="B146" s="4" t="s">
        <v>134</v>
      </c>
      <c r="C146" s="4" t="s">
        <v>8</v>
      </c>
      <c r="D146" s="4" t="s">
        <v>400</v>
      </c>
      <c r="E146" s="4" t="s">
        <v>324</v>
      </c>
      <c r="F146" s="5" t="s">
        <v>2</v>
      </c>
      <c r="G146" s="4" t="s">
        <v>346</v>
      </c>
    </row>
    <row r="147" spans="1:7" s="4" customFormat="1" x14ac:dyDescent="0.25">
      <c r="A147" s="4" t="s">
        <v>401</v>
      </c>
      <c r="B147" s="4" t="s">
        <v>134</v>
      </c>
      <c r="C147" s="4" t="s">
        <v>8</v>
      </c>
      <c r="D147" s="4" t="s">
        <v>402</v>
      </c>
      <c r="E147" s="4" t="s">
        <v>324</v>
      </c>
      <c r="F147" s="5" t="s">
        <v>2</v>
      </c>
      <c r="G147" s="4" t="s">
        <v>403</v>
      </c>
    </row>
    <row r="148" spans="1:7" s="4" customFormat="1" x14ac:dyDescent="0.25">
      <c r="A148" s="4" t="s">
        <v>404</v>
      </c>
      <c r="B148" s="4" t="s">
        <v>134</v>
      </c>
      <c r="C148" s="4" t="s">
        <v>8</v>
      </c>
      <c r="D148" s="4" t="s">
        <v>405</v>
      </c>
      <c r="E148" s="4" t="s">
        <v>324</v>
      </c>
      <c r="F148" s="5" t="s">
        <v>2</v>
      </c>
      <c r="G148" s="4" t="s">
        <v>325</v>
      </c>
    </row>
    <row r="149" spans="1:7" s="4" customFormat="1" x14ac:dyDescent="0.25">
      <c r="A149" s="4" t="s">
        <v>406</v>
      </c>
      <c r="B149" s="4" t="s">
        <v>134</v>
      </c>
      <c r="C149" s="4" t="s">
        <v>8</v>
      </c>
      <c r="D149" s="4" t="s">
        <v>407</v>
      </c>
      <c r="E149" s="4" t="s">
        <v>324</v>
      </c>
      <c r="F149" s="5" t="s">
        <v>2</v>
      </c>
      <c r="G149" s="4" t="s">
        <v>408</v>
      </c>
    </row>
    <row r="150" spans="1:7" s="4" customFormat="1" x14ac:dyDescent="0.25">
      <c r="A150" s="4" t="s">
        <v>409</v>
      </c>
      <c r="B150" s="4" t="s">
        <v>134</v>
      </c>
      <c r="C150" s="4" t="s">
        <v>8</v>
      </c>
      <c r="D150" s="4" t="s">
        <v>410</v>
      </c>
      <c r="E150" s="4" t="s">
        <v>324</v>
      </c>
      <c r="F150" s="5" t="s">
        <v>2</v>
      </c>
      <c r="G150" s="4" t="s">
        <v>330</v>
      </c>
    </row>
    <row r="151" spans="1:7" s="4" customFormat="1" x14ac:dyDescent="0.25">
      <c r="A151" s="4" t="s">
        <v>411</v>
      </c>
      <c r="B151" s="4" t="s">
        <v>412</v>
      </c>
      <c r="C151" s="4" t="s">
        <v>9</v>
      </c>
      <c r="D151" s="4" t="s">
        <v>413</v>
      </c>
      <c r="E151" s="4" t="s">
        <v>324</v>
      </c>
      <c r="F151" s="5" t="s">
        <v>2</v>
      </c>
      <c r="G151" s="4" t="s">
        <v>414</v>
      </c>
    </row>
    <row r="152" spans="1:7" s="4" customFormat="1" x14ac:dyDescent="0.25">
      <c r="A152" s="4" t="s">
        <v>415</v>
      </c>
      <c r="B152" s="4" t="s">
        <v>412</v>
      </c>
      <c r="C152" s="4" t="s">
        <v>9</v>
      </c>
      <c r="D152" s="4" t="s">
        <v>416</v>
      </c>
      <c r="E152" s="4" t="s">
        <v>324</v>
      </c>
      <c r="F152" s="5" t="s">
        <v>2</v>
      </c>
      <c r="G152" s="4" t="s">
        <v>414</v>
      </c>
    </row>
    <row r="153" spans="1:7" s="4" customFormat="1" x14ac:dyDescent="0.25">
      <c r="A153" s="4" t="s">
        <v>417</v>
      </c>
      <c r="B153" s="4" t="s">
        <v>412</v>
      </c>
      <c r="C153" s="4" t="s">
        <v>9</v>
      </c>
      <c r="D153" s="4" t="s">
        <v>418</v>
      </c>
      <c r="E153" s="4" t="s">
        <v>324</v>
      </c>
      <c r="F153" s="5" t="s">
        <v>2</v>
      </c>
      <c r="G153" s="4" t="s">
        <v>414</v>
      </c>
    </row>
    <row r="154" spans="1:7" s="4" customFormat="1" x14ac:dyDescent="0.25">
      <c r="A154" s="4" t="s">
        <v>419</v>
      </c>
      <c r="B154" s="4" t="s">
        <v>412</v>
      </c>
      <c r="C154" s="4" t="s">
        <v>9</v>
      </c>
      <c r="D154" s="4" t="s">
        <v>420</v>
      </c>
      <c r="E154" s="4" t="s">
        <v>324</v>
      </c>
      <c r="F154" s="5" t="s">
        <v>2</v>
      </c>
      <c r="G154" s="4" t="s">
        <v>414</v>
      </c>
    </row>
    <row r="155" spans="1:7" s="4" customFormat="1" x14ac:dyDescent="0.25">
      <c r="A155" s="4" t="s">
        <v>421</v>
      </c>
      <c r="B155" s="4" t="s">
        <v>412</v>
      </c>
      <c r="C155" s="4" t="s">
        <v>9</v>
      </c>
      <c r="D155" s="4" t="s">
        <v>422</v>
      </c>
      <c r="E155" s="4" t="s">
        <v>324</v>
      </c>
      <c r="F155" s="5" t="s">
        <v>2</v>
      </c>
      <c r="G155" s="4" t="s">
        <v>414</v>
      </c>
    </row>
    <row r="156" spans="1:7" s="4" customFormat="1" x14ac:dyDescent="0.25">
      <c r="A156" s="4" t="s">
        <v>423</v>
      </c>
      <c r="B156" s="4" t="s">
        <v>412</v>
      </c>
      <c r="C156" s="4" t="s">
        <v>9</v>
      </c>
      <c r="D156" s="4" t="s">
        <v>424</v>
      </c>
      <c r="E156" s="4" t="s">
        <v>324</v>
      </c>
      <c r="F156" s="5" t="s">
        <v>2</v>
      </c>
      <c r="G156" s="4" t="s">
        <v>414</v>
      </c>
    </row>
    <row r="157" spans="1:7" s="4" customFormat="1" x14ac:dyDescent="0.25">
      <c r="A157" s="4" t="s">
        <v>425</v>
      </c>
      <c r="B157" s="4" t="s">
        <v>412</v>
      </c>
      <c r="C157" s="4" t="s">
        <v>9</v>
      </c>
      <c r="D157" s="4" t="s">
        <v>426</v>
      </c>
      <c r="E157" s="4" t="s">
        <v>324</v>
      </c>
      <c r="F157" s="5" t="s">
        <v>2</v>
      </c>
      <c r="G157" s="4" t="s">
        <v>414</v>
      </c>
    </row>
    <row r="158" spans="1:7" s="4" customFormat="1" x14ac:dyDescent="0.25">
      <c r="A158" s="4" t="s">
        <v>427</v>
      </c>
      <c r="B158" s="4" t="s">
        <v>412</v>
      </c>
      <c r="C158" s="4" t="s">
        <v>9</v>
      </c>
      <c r="D158" s="4" t="s">
        <v>428</v>
      </c>
      <c r="E158" s="4" t="s">
        <v>324</v>
      </c>
      <c r="F158" s="5" t="s">
        <v>2</v>
      </c>
      <c r="G158" s="4" t="s">
        <v>414</v>
      </c>
    </row>
    <row r="159" spans="1:7" s="4" customFormat="1" x14ac:dyDescent="0.25">
      <c r="A159" s="4" t="s">
        <v>429</v>
      </c>
      <c r="B159" s="4" t="s">
        <v>412</v>
      </c>
      <c r="C159" s="4" t="s">
        <v>9</v>
      </c>
      <c r="D159" s="4" t="s">
        <v>430</v>
      </c>
      <c r="E159" s="4" t="s">
        <v>324</v>
      </c>
      <c r="F159" s="5" t="s">
        <v>2</v>
      </c>
      <c r="G159" s="4" t="s">
        <v>414</v>
      </c>
    </row>
    <row r="160" spans="1:7" s="4" customFormat="1" x14ac:dyDescent="0.25">
      <c r="A160" s="4" t="s">
        <v>431</v>
      </c>
      <c r="B160" s="4" t="s">
        <v>412</v>
      </c>
      <c r="C160" s="4" t="s">
        <v>9</v>
      </c>
      <c r="D160" s="4" t="s">
        <v>432</v>
      </c>
      <c r="E160" s="4" t="s">
        <v>324</v>
      </c>
      <c r="F160" s="6" t="s">
        <v>5</v>
      </c>
      <c r="G160" s="4" t="s">
        <v>414</v>
      </c>
    </row>
    <row r="161" spans="1:7" s="4" customFormat="1" x14ac:dyDescent="0.25">
      <c r="A161" s="4" t="s">
        <v>433</v>
      </c>
      <c r="B161" s="4" t="s">
        <v>412</v>
      </c>
      <c r="C161" s="4" t="s">
        <v>9</v>
      </c>
      <c r="D161" s="4" t="s">
        <v>434</v>
      </c>
      <c r="E161" s="4" t="s">
        <v>324</v>
      </c>
      <c r="F161" s="5" t="s">
        <v>2</v>
      </c>
      <c r="G161" s="4" t="s">
        <v>414</v>
      </c>
    </row>
    <row r="162" spans="1:7" s="4" customFormat="1" x14ac:dyDescent="0.25">
      <c r="A162" s="4" t="s">
        <v>435</v>
      </c>
      <c r="B162" s="4" t="s">
        <v>412</v>
      </c>
      <c r="C162" s="4" t="s">
        <v>9</v>
      </c>
      <c r="D162" s="4" t="s">
        <v>436</v>
      </c>
      <c r="E162" s="4" t="s">
        <v>324</v>
      </c>
      <c r="F162" s="5" t="s">
        <v>2</v>
      </c>
      <c r="G162" s="4" t="s">
        <v>414</v>
      </c>
    </row>
    <row r="163" spans="1:7" s="4" customFormat="1" x14ac:dyDescent="0.25">
      <c r="A163" s="4" t="s">
        <v>437</v>
      </c>
      <c r="B163" s="4" t="s">
        <v>438</v>
      </c>
      <c r="C163" s="4" t="s">
        <v>10</v>
      </c>
      <c r="D163" s="4" t="s">
        <v>439</v>
      </c>
      <c r="E163" s="4" t="s">
        <v>440</v>
      </c>
      <c r="F163" s="5" t="s">
        <v>2</v>
      </c>
      <c r="G163" s="4" t="s">
        <v>441</v>
      </c>
    </row>
    <row r="164" spans="1:7" s="4" customFormat="1" x14ac:dyDescent="0.25">
      <c r="A164" s="4" t="s">
        <v>442</v>
      </c>
      <c r="B164" s="4" t="s">
        <v>438</v>
      </c>
      <c r="C164" s="4" t="s">
        <v>11</v>
      </c>
      <c r="D164" s="4" t="s">
        <v>443</v>
      </c>
      <c r="E164" s="4" t="s">
        <v>440</v>
      </c>
      <c r="F164" s="5" t="s">
        <v>2</v>
      </c>
      <c r="G164" s="4" t="s">
        <v>444</v>
      </c>
    </row>
    <row r="165" spans="1:7" s="4" customFormat="1" x14ac:dyDescent="0.25">
      <c r="A165" s="4" t="s">
        <v>445</v>
      </c>
      <c r="B165" s="4" t="s">
        <v>438</v>
      </c>
      <c r="C165" s="4" t="s">
        <v>12</v>
      </c>
      <c r="D165" s="4" t="s">
        <v>446</v>
      </c>
      <c r="E165" s="4" t="s">
        <v>440</v>
      </c>
      <c r="F165" s="5" t="s">
        <v>2</v>
      </c>
      <c r="G165" s="4" t="s">
        <v>447</v>
      </c>
    </row>
    <row r="166" spans="1:7" s="4" customFormat="1" x14ac:dyDescent="0.25">
      <c r="A166" s="4" t="s">
        <v>448</v>
      </c>
      <c r="B166" s="4" t="s">
        <v>438</v>
      </c>
      <c r="C166" s="4" t="s">
        <v>10</v>
      </c>
      <c r="D166" s="4" t="s">
        <v>449</v>
      </c>
      <c r="E166" s="4" t="s">
        <v>324</v>
      </c>
      <c r="F166" s="5" t="s">
        <v>2</v>
      </c>
      <c r="G166" s="4" t="s">
        <v>450</v>
      </c>
    </row>
    <row r="167" spans="1:7" s="4" customFormat="1" x14ac:dyDescent="0.25">
      <c r="A167" s="4" t="s">
        <v>451</v>
      </c>
      <c r="B167" s="4" t="s">
        <v>438</v>
      </c>
      <c r="C167" s="4" t="s">
        <v>10</v>
      </c>
      <c r="D167" s="4" t="s">
        <v>452</v>
      </c>
      <c r="E167" s="4" t="s">
        <v>453</v>
      </c>
      <c r="F167" s="5" t="s">
        <v>2</v>
      </c>
      <c r="G167" s="4" t="s">
        <v>454</v>
      </c>
    </row>
    <row r="168" spans="1:7" s="4" customFormat="1" x14ac:dyDescent="0.25">
      <c r="A168" s="4" t="s">
        <v>455</v>
      </c>
      <c r="B168" s="4" t="s">
        <v>438</v>
      </c>
      <c r="C168" s="4" t="s">
        <v>10</v>
      </c>
      <c r="D168" s="4" t="s">
        <v>456</v>
      </c>
      <c r="E168" s="4" t="s">
        <v>453</v>
      </c>
      <c r="F168" s="5" t="s">
        <v>2</v>
      </c>
      <c r="G168" s="4" t="s">
        <v>457</v>
      </c>
    </row>
    <row r="169" spans="1:7" s="4" customFormat="1" x14ac:dyDescent="0.25">
      <c r="A169" s="4" t="s">
        <v>458</v>
      </c>
      <c r="B169" s="4" t="s">
        <v>438</v>
      </c>
      <c r="C169" s="4" t="s">
        <v>10</v>
      </c>
      <c r="D169" s="4" t="s">
        <v>459</v>
      </c>
      <c r="E169" s="4" t="s">
        <v>453</v>
      </c>
      <c r="F169" s="5" t="s">
        <v>2</v>
      </c>
      <c r="G169" s="4" t="s">
        <v>460</v>
      </c>
    </row>
    <row r="170" spans="1:7" s="4" customFormat="1" x14ac:dyDescent="0.25">
      <c r="A170" s="4" t="s">
        <v>461</v>
      </c>
      <c r="B170" s="4" t="s">
        <v>438</v>
      </c>
      <c r="C170" s="4" t="s">
        <v>10</v>
      </c>
      <c r="D170" s="4" t="s">
        <v>462</v>
      </c>
      <c r="E170" s="4" t="s">
        <v>453</v>
      </c>
      <c r="F170" s="5" t="s">
        <v>2</v>
      </c>
      <c r="G170" s="4" t="s">
        <v>463</v>
      </c>
    </row>
    <row r="171" spans="1:7" s="4" customFormat="1" x14ac:dyDescent="0.25">
      <c r="A171" s="4" t="s">
        <v>464</v>
      </c>
      <c r="B171" s="4" t="s">
        <v>438</v>
      </c>
      <c r="C171" s="4" t="s">
        <v>10</v>
      </c>
      <c r="D171" s="4" t="s">
        <v>465</v>
      </c>
      <c r="E171" s="4" t="s">
        <v>466</v>
      </c>
      <c r="F171" s="5" t="s">
        <v>2</v>
      </c>
      <c r="G171" s="4" t="s">
        <v>467</v>
      </c>
    </row>
    <row r="172" spans="1:7" s="4" customFormat="1" x14ac:dyDescent="0.25">
      <c r="A172" s="4" t="s">
        <v>468</v>
      </c>
      <c r="B172" s="4" t="s">
        <v>438</v>
      </c>
      <c r="C172" s="4" t="s">
        <v>11</v>
      </c>
      <c r="D172" s="4" t="s">
        <v>469</v>
      </c>
      <c r="E172" s="4" t="s">
        <v>470</v>
      </c>
      <c r="F172" s="5" t="s">
        <v>2</v>
      </c>
      <c r="G172" s="4" t="s">
        <v>471</v>
      </c>
    </row>
    <row r="173" spans="1:7" s="4" customFormat="1" x14ac:dyDescent="0.25">
      <c r="A173" s="4" t="s">
        <v>472</v>
      </c>
      <c r="B173" s="4" t="s">
        <v>438</v>
      </c>
      <c r="C173" s="4" t="s">
        <v>12</v>
      </c>
      <c r="D173" s="4" t="s">
        <v>473</v>
      </c>
      <c r="E173" s="4" t="s">
        <v>470</v>
      </c>
      <c r="F173" s="5" t="s">
        <v>2</v>
      </c>
      <c r="G173" s="4" t="s">
        <v>471</v>
      </c>
    </row>
    <row r="174" spans="1:7" s="4" customFormat="1" x14ac:dyDescent="0.25">
      <c r="A174" s="4" t="s">
        <v>474</v>
      </c>
      <c r="B174" s="4" t="s">
        <v>438</v>
      </c>
      <c r="C174" s="4" t="s">
        <v>10</v>
      </c>
      <c r="D174" s="4" t="s">
        <v>475</v>
      </c>
      <c r="E174" s="4" t="s">
        <v>470</v>
      </c>
      <c r="F174" s="5" t="s">
        <v>2</v>
      </c>
      <c r="G174" s="4" t="s">
        <v>476</v>
      </c>
    </row>
    <row r="175" spans="1:7" s="4" customFormat="1" x14ac:dyDescent="0.25">
      <c r="A175" s="4" t="s">
        <v>477</v>
      </c>
      <c r="B175" s="4" t="s">
        <v>438</v>
      </c>
      <c r="C175" s="4" t="s">
        <v>10</v>
      </c>
      <c r="D175" s="4" t="s">
        <v>478</v>
      </c>
      <c r="E175" s="4" t="s">
        <v>268</v>
      </c>
      <c r="F175" s="7" t="s">
        <v>4</v>
      </c>
      <c r="G175" s="4" t="s">
        <v>479</v>
      </c>
    </row>
    <row r="176" spans="1:7" s="4" customFormat="1" x14ac:dyDescent="0.25">
      <c r="A176" s="4" t="s">
        <v>480</v>
      </c>
      <c r="B176" s="4" t="s">
        <v>438</v>
      </c>
      <c r="C176" s="4" t="s">
        <v>10</v>
      </c>
      <c r="D176" s="4" t="s">
        <v>481</v>
      </c>
      <c r="E176" s="4" t="s">
        <v>268</v>
      </c>
      <c r="F176" s="7" t="s">
        <v>4</v>
      </c>
      <c r="G176" s="4" t="s">
        <v>482</v>
      </c>
    </row>
    <row r="177" spans="1:7" s="4" customFormat="1" x14ac:dyDescent="0.25">
      <c r="A177" s="4" t="s">
        <v>483</v>
      </c>
      <c r="B177" s="4" t="s">
        <v>438</v>
      </c>
      <c r="C177" s="4" t="s">
        <v>10</v>
      </c>
      <c r="D177" s="4" t="s">
        <v>484</v>
      </c>
      <c r="E177" s="4" t="s">
        <v>268</v>
      </c>
      <c r="F177" s="5" t="s">
        <v>2</v>
      </c>
      <c r="G177" s="4" t="s">
        <v>485</v>
      </c>
    </row>
    <row r="178" spans="1:7" s="4" customFormat="1" x14ac:dyDescent="0.25">
      <c r="A178" s="4" t="s">
        <v>486</v>
      </c>
      <c r="B178" s="4" t="s">
        <v>438</v>
      </c>
      <c r="C178" s="4" t="s">
        <v>10</v>
      </c>
      <c r="D178" s="4" t="s">
        <v>487</v>
      </c>
      <c r="E178" s="4" t="s">
        <v>268</v>
      </c>
      <c r="F178" s="5" t="s">
        <v>2</v>
      </c>
      <c r="G178" s="4" t="s">
        <v>488</v>
      </c>
    </row>
    <row r="179" spans="1:7" s="4" customFormat="1" x14ac:dyDescent="0.25">
      <c r="A179" s="4" t="s">
        <v>489</v>
      </c>
      <c r="B179" s="4" t="s">
        <v>438</v>
      </c>
      <c r="C179" s="4" t="s">
        <v>10</v>
      </c>
      <c r="D179" s="4" t="s">
        <v>490</v>
      </c>
      <c r="E179" s="4" t="s">
        <v>491</v>
      </c>
      <c r="F179" s="5" t="s">
        <v>2</v>
      </c>
      <c r="G179" s="4" t="s">
        <v>492</v>
      </c>
    </row>
    <row r="180" spans="1:7" s="4" customFormat="1" x14ac:dyDescent="0.25">
      <c r="A180" s="4" t="s">
        <v>493</v>
      </c>
      <c r="B180" s="4" t="s">
        <v>438</v>
      </c>
      <c r="C180" s="4" t="s">
        <v>10</v>
      </c>
      <c r="D180" s="4" t="s">
        <v>494</v>
      </c>
      <c r="E180" s="4" t="s">
        <v>491</v>
      </c>
      <c r="F180" s="5" t="s">
        <v>2</v>
      </c>
      <c r="G180" s="4" t="s">
        <v>495</v>
      </c>
    </row>
    <row r="181" spans="1:7" s="4" customFormat="1" x14ac:dyDescent="0.25">
      <c r="A181" s="4" t="s">
        <v>496</v>
      </c>
      <c r="B181" s="4" t="s">
        <v>438</v>
      </c>
      <c r="C181" s="4" t="s">
        <v>10</v>
      </c>
      <c r="D181" s="4" t="s">
        <v>497</v>
      </c>
      <c r="E181" s="4" t="s">
        <v>491</v>
      </c>
      <c r="F181" s="5" t="s">
        <v>2</v>
      </c>
      <c r="G181" s="4" t="s">
        <v>498</v>
      </c>
    </row>
    <row r="182" spans="1:7" s="4" customFormat="1" x14ac:dyDescent="0.25">
      <c r="A182" s="4" t="s">
        <v>499</v>
      </c>
      <c r="B182" s="4" t="s">
        <v>438</v>
      </c>
      <c r="C182" s="4" t="s">
        <v>10</v>
      </c>
      <c r="D182" s="4" t="s">
        <v>500</v>
      </c>
      <c r="E182" s="4" t="s">
        <v>491</v>
      </c>
      <c r="F182" s="5" t="s">
        <v>2</v>
      </c>
      <c r="G182" s="4" t="s">
        <v>501</v>
      </c>
    </row>
    <row r="183" spans="1:7" s="4" customFormat="1" x14ac:dyDescent="0.25">
      <c r="A183" s="4" t="s">
        <v>502</v>
      </c>
      <c r="B183" s="4" t="s">
        <v>438</v>
      </c>
      <c r="C183" s="4" t="s">
        <v>10</v>
      </c>
      <c r="D183" s="4" t="s">
        <v>503</v>
      </c>
      <c r="E183" s="4" t="s">
        <v>491</v>
      </c>
      <c r="F183" s="5" t="s">
        <v>2</v>
      </c>
      <c r="G183" s="4" t="s">
        <v>504</v>
      </c>
    </row>
    <row r="184" spans="1:7" s="4" customFormat="1" x14ac:dyDescent="0.25">
      <c r="A184" s="4" t="s">
        <v>505</v>
      </c>
      <c r="B184" s="4" t="s">
        <v>438</v>
      </c>
      <c r="C184" s="4" t="s">
        <v>10</v>
      </c>
      <c r="D184" s="4" t="s">
        <v>506</v>
      </c>
      <c r="E184" s="4" t="s">
        <v>491</v>
      </c>
      <c r="F184" s="5" t="s">
        <v>2</v>
      </c>
      <c r="G184" s="4" t="s">
        <v>507</v>
      </c>
    </row>
    <row r="185" spans="1:7" s="4" customFormat="1" x14ac:dyDescent="0.25">
      <c r="A185" s="4" t="s">
        <v>508</v>
      </c>
      <c r="B185" s="4" t="s">
        <v>438</v>
      </c>
      <c r="C185" s="4" t="s">
        <v>10</v>
      </c>
      <c r="D185" s="4" t="s">
        <v>509</v>
      </c>
      <c r="E185" s="4" t="s">
        <v>491</v>
      </c>
      <c r="F185" s="5" t="s">
        <v>2</v>
      </c>
      <c r="G185" s="4" t="s">
        <v>510</v>
      </c>
    </row>
    <row r="186" spans="1:7" s="4" customFormat="1" x14ac:dyDescent="0.25">
      <c r="A186" s="4" t="s">
        <v>511</v>
      </c>
      <c r="B186" s="4" t="s">
        <v>438</v>
      </c>
      <c r="C186" s="4" t="s">
        <v>10</v>
      </c>
      <c r="D186" s="4" t="s">
        <v>512</v>
      </c>
      <c r="E186" s="4" t="s">
        <v>513</v>
      </c>
      <c r="F186" s="6" t="s">
        <v>5</v>
      </c>
      <c r="G186" s="4" t="s">
        <v>514</v>
      </c>
    </row>
    <row r="187" spans="1:7" s="4" customFormat="1" x14ac:dyDescent="0.25">
      <c r="A187" s="4" t="s">
        <v>515</v>
      </c>
      <c r="B187" s="4" t="s">
        <v>438</v>
      </c>
      <c r="C187" s="4" t="s">
        <v>10</v>
      </c>
      <c r="D187" s="4" t="s">
        <v>516</v>
      </c>
      <c r="E187" s="4" t="s">
        <v>491</v>
      </c>
      <c r="F187" s="5" t="s">
        <v>2</v>
      </c>
      <c r="G187" s="4" t="s">
        <v>517</v>
      </c>
    </row>
    <row r="188" spans="1:7" s="4" customFormat="1" x14ac:dyDescent="0.25">
      <c r="A188" s="4" t="s">
        <v>518</v>
      </c>
      <c r="B188" s="4" t="s">
        <v>438</v>
      </c>
      <c r="C188" s="4" t="s">
        <v>10</v>
      </c>
      <c r="D188" s="4" t="s">
        <v>519</v>
      </c>
      <c r="E188" s="4" t="s">
        <v>520</v>
      </c>
      <c r="F188" s="5" t="s">
        <v>2</v>
      </c>
      <c r="G188" s="4" t="s">
        <v>521</v>
      </c>
    </row>
    <row r="189" spans="1:7" s="4" customFormat="1" x14ac:dyDescent="0.25">
      <c r="A189" s="4" t="s">
        <v>522</v>
      </c>
      <c r="B189" s="4" t="s">
        <v>438</v>
      </c>
      <c r="C189" s="4" t="s">
        <v>10</v>
      </c>
      <c r="D189" s="4" t="s">
        <v>523</v>
      </c>
      <c r="E189" s="4" t="s">
        <v>520</v>
      </c>
      <c r="F189" s="5" t="s">
        <v>2</v>
      </c>
      <c r="G189" s="4" t="s">
        <v>524</v>
      </c>
    </row>
    <row r="190" spans="1:7" s="4" customFormat="1" x14ac:dyDescent="0.25">
      <c r="A190" s="4" t="s">
        <v>525</v>
      </c>
      <c r="B190" s="4" t="s">
        <v>526</v>
      </c>
      <c r="C190" s="4" t="s">
        <v>10</v>
      </c>
      <c r="D190" s="4" t="s">
        <v>527</v>
      </c>
      <c r="E190" s="4" t="s">
        <v>528</v>
      </c>
      <c r="F190" s="5" t="s">
        <v>2</v>
      </c>
      <c r="G190" s="4" t="s">
        <v>529</v>
      </c>
    </row>
    <row r="191" spans="1:7" s="4" customFormat="1" x14ac:dyDescent="0.25">
      <c r="A191" s="4" t="s">
        <v>530</v>
      </c>
      <c r="B191" s="4" t="s">
        <v>526</v>
      </c>
      <c r="C191" s="4" t="s">
        <v>10</v>
      </c>
      <c r="D191" s="4" t="s">
        <v>531</v>
      </c>
      <c r="E191" s="4" t="s">
        <v>528</v>
      </c>
      <c r="F191" s="5" t="s">
        <v>2</v>
      </c>
      <c r="G191" s="4" t="s">
        <v>532</v>
      </c>
    </row>
    <row r="192" spans="1:7" s="4" customFormat="1" x14ac:dyDescent="0.25">
      <c r="A192" s="4" t="s">
        <v>533</v>
      </c>
      <c r="B192" s="4" t="s">
        <v>526</v>
      </c>
      <c r="C192" s="4" t="s">
        <v>10</v>
      </c>
      <c r="D192" s="4" t="s">
        <v>534</v>
      </c>
      <c r="E192" s="4" t="s">
        <v>528</v>
      </c>
      <c r="F192" s="5" t="s">
        <v>2</v>
      </c>
      <c r="G192" s="4" t="s">
        <v>535</v>
      </c>
    </row>
    <row r="193" spans="1:7" s="4" customFormat="1" x14ac:dyDescent="0.25">
      <c r="A193" s="4" t="s">
        <v>536</v>
      </c>
      <c r="B193" s="4" t="s">
        <v>526</v>
      </c>
      <c r="C193" s="4" t="s">
        <v>10</v>
      </c>
      <c r="D193" s="4" t="s">
        <v>537</v>
      </c>
      <c r="E193" s="4" t="s">
        <v>528</v>
      </c>
      <c r="F193" s="5" t="s">
        <v>2</v>
      </c>
      <c r="G193" s="4" t="s">
        <v>538</v>
      </c>
    </row>
    <row r="194" spans="1:7" s="4" customFormat="1" x14ac:dyDescent="0.25">
      <c r="A194" s="4" t="s">
        <v>539</v>
      </c>
      <c r="B194" s="4" t="s">
        <v>526</v>
      </c>
      <c r="C194" s="4" t="s">
        <v>10</v>
      </c>
      <c r="D194" s="4" t="s">
        <v>540</v>
      </c>
      <c r="E194" s="4" t="s">
        <v>528</v>
      </c>
      <c r="F194" s="5" t="s">
        <v>2</v>
      </c>
      <c r="G194" s="4" t="s">
        <v>538</v>
      </c>
    </row>
    <row r="195" spans="1:7" s="4" customFormat="1" x14ac:dyDescent="0.25">
      <c r="A195" s="4" t="s">
        <v>541</v>
      </c>
      <c r="B195" s="4" t="s">
        <v>526</v>
      </c>
      <c r="C195" s="4" t="s">
        <v>10</v>
      </c>
      <c r="D195" s="4" t="s">
        <v>542</v>
      </c>
      <c r="E195" s="4" t="s">
        <v>528</v>
      </c>
      <c r="F195" s="5" t="s">
        <v>2</v>
      </c>
      <c r="G195" s="4" t="s">
        <v>538</v>
      </c>
    </row>
    <row r="196" spans="1:7" s="4" customFormat="1" x14ac:dyDescent="0.25">
      <c r="A196" s="4" t="s">
        <v>543</v>
      </c>
      <c r="B196" s="4" t="s">
        <v>526</v>
      </c>
      <c r="C196" s="4" t="s">
        <v>10</v>
      </c>
      <c r="D196" s="4" t="s">
        <v>544</v>
      </c>
      <c r="E196" s="4" t="s">
        <v>528</v>
      </c>
      <c r="F196" s="5" t="s">
        <v>2</v>
      </c>
      <c r="G196" s="4" t="s">
        <v>545</v>
      </c>
    </row>
    <row r="197" spans="1:7" s="4" customFormat="1" x14ac:dyDescent="0.25">
      <c r="A197" s="4" t="s">
        <v>546</v>
      </c>
      <c r="B197" s="4" t="s">
        <v>526</v>
      </c>
      <c r="C197" s="4" t="s">
        <v>10</v>
      </c>
      <c r="D197" s="4" t="s">
        <v>547</v>
      </c>
      <c r="E197" s="4" t="s">
        <v>528</v>
      </c>
      <c r="F197" s="5" t="s">
        <v>2</v>
      </c>
      <c r="G197" s="4" t="s">
        <v>548</v>
      </c>
    </row>
    <row r="198" spans="1:7" s="4" customFormat="1" x14ac:dyDescent="0.25">
      <c r="A198" s="4" t="s">
        <v>549</v>
      </c>
      <c r="B198" s="4" t="s">
        <v>526</v>
      </c>
      <c r="C198" s="4" t="s">
        <v>10</v>
      </c>
      <c r="D198" s="4" t="s">
        <v>550</v>
      </c>
      <c r="E198" s="4" t="s">
        <v>528</v>
      </c>
      <c r="F198" s="5" t="s">
        <v>2</v>
      </c>
      <c r="G198" s="4" t="s">
        <v>551</v>
      </c>
    </row>
    <row r="199" spans="1:7" s="4" customFormat="1" x14ac:dyDescent="0.25">
      <c r="A199" s="4" t="s">
        <v>552</v>
      </c>
      <c r="B199" s="4" t="s">
        <v>526</v>
      </c>
      <c r="C199" s="4" t="s">
        <v>10</v>
      </c>
      <c r="D199" s="4" t="s">
        <v>553</v>
      </c>
      <c r="E199" s="4" t="s">
        <v>528</v>
      </c>
      <c r="F199" s="5" t="s">
        <v>2</v>
      </c>
      <c r="G199" s="4" t="s">
        <v>554</v>
      </c>
    </row>
    <row r="200" spans="1:7" s="4" customFormat="1" x14ac:dyDescent="0.25">
      <c r="A200" s="4" t="s">
        <v>555</v>
      </c>
      <c r="B200" s="4" t="s">
        <v>526</v>
      </c>
      <c r="C200" s="4" t="s">
        <v>10</v>
      </c>
      <c r="D200" s="4" t="s">
        <v>556</v>
      </c>
      <c r="E200" s="4" t="s">
        <v>528</v>
      </c>
      <c r="F200" s="5" t="s">
        <v>2</v>
      </c>
      <c r="G200" s="4" t="s">
        <v>554</v>
      </c>
    </row>
    <row r="201" spans="1:7" s="4" customFormat="1" x14ac:dyDescent="0.25">
      <c r="A201" s="4" t="s">
        <v>557</v>
      </c>
      <c r="B201" s="4" t="s">
        <v>438</v>
      </c>
      <c r="C201" s="4" t="s">
        <v>10</v>
      </c>
      <c r="D201" s="4" t="s">
        <v>558</v>
      </c>
      <c r="E201" s="4" t="s">
        <v>559</v>
      </c>
      <c r="F201" s="5" t="s">
        <v>2</v>
      </c>
      <c r="G201" s="4" t="s">
        <v>560</v>
      </c>
    </row>
    <row r="202" spans="1:7" s="4" customFormat="1" x14ac:dyDescent="0.25">
      <c r="A202" s="4" t="s">
        <v>561</v>
      </c>
      <c r="B202" s="4" t="s">
        <v>438</v>
      </c>
      <c r="C202" s="4" t="s">
        <v>10</v>
      </c>
      <c r="D202" s="4" t="s">
        <v>562</v>
      </c>
      <c r="E202" s="4" t="s">
        <v>559</v>
      </c>
      <c r="F202" s="5" t="s">
        <v>2</v>
      </c>
      <c r="G202" s="4" t="s">
        <v>563</v>
      </c>
    </row>
    <row r="203" spans="1:7" s="4" customFormat="1" x14ac:dyDescent="0.25">
      <c r="A203" s="4" t="s">
        <v>564</v>
      </c>
      <c r="B203" s="4" t="s">
        <v>438</v>
      </c>
      <c r="C203" s="4" t="s">
        <v>10</v>
      </c>
      <c r="D203" s="4" t="s">
        <v>565</v>
      </c>
      <c r="E203" s="4" t="s">
        <v>520</v>
      </c>
      <c r="F203" s="5" t="s">
        <v>2</v>
      </c>
      <c r="G203" s="4" t="s">
        <v>566</v>
      </c>
    </row>
    <row r="204" spans="1:7" s="4" customFormat="1" x14ac:dyDescent="0.25">
      <c r="A204" s="4" t="s">
        <v>567</v>
      </c>
      <c r="B204" s="4" t="s">
        <v>438</v>
      </c>
      <c r="C204" s="4" t="s">
        <v>10</v>
      </c>
      <c r="D204" s="4" t="s">
        <v>568</v>
      </c>
      <c r="E204" s="4" t="s">
        <v>569</v>
      </c>
      <c r="F204" s="5" t="s">
        <v>2</v>
      </c>
      <c r="G204" s="4" t="s">
        <v>570</v>
      </c>
    </row>
    <row r="205" spans="1:7" s="4" customFormat="1" x14ac:dyDescent="0.25">
      <c r="A205" s="4" t="s">
        <v>571</v>
      </c>
      <c r="B205" s="4" t="s">
        <v>572</v>
      </c>
      <c r="C205" s="4" t="s">
        <v>13</v>
      </c>
      <c r="D205" s="4" t="s">
        <v>527</v>
      </c>
      <c r="E205" s="4" t="s">
        <v>528</v>
      </c>
      <c r="F205" s="5" t="s">
        <v>2</v>
      </c>
      <c r="G205" s="4" t="s">
        <v>573</v>
      </c>
    </row>
    <row r="206" spans="1:7" s="4" customFormat="1" x14ac:dyDescent="0.25">
      <c r="A206" s="4" t="s">
        <v>574</v>
      </c>
      <c r="B206" s="4" t="s">
        <v>572</v>
      </c>
      <c r="C206" s="4" t="s">
        <v>13</v>
      </c>
      <c r="D206" s="4" t="s">
        <v>531</v>
      </c>
      <c r="E206" s="4" t="s">
        <v>528</v>
      </c>
      <c r="F206" s="5" t="s">
        <v>2</v>
      </c>
      <c r="G206" s="4" t="s">
        <v>575</v>
      </c>
    </row>
    <row r="207" spans="1:7" s="4" customFormat="1" x14ac:dyDescent="0.25">
      <c r="A207" s="4" t="s">
        <v>576</v>
      </c>
      <c r="B207" s="4" t="s">
        <v>572</v>
      </c>
      <c r="C207" s="4" t="s">
        <v>13</v>
      </c>
      <c r="D207" s="4" t="s">
        <v>534</v>
      </c>
      <c r="E207" s="4" t="s">
        <v>528</v>
      </c>
      <c r="F207" s="5" t="s">
        <v>2</v>
      </c>
      <c r="G207" s="4" t="s">
        <v>577</v>
      </c>
    </row>
    <row r="208" spans="1:7" s="4" customFormat="1" x14ac:dyDescent="0.25">
      <c r="A208" s="4" t="s">
        <v>578</v>
      </c>
      <c r="B208" s="4" t="s">
        <v>572</v>
      </c>
      <c r="C208" s="4" t="s">
        <v>13</v>
      </c>
      <c r="D208" s="4" t="s">
        <v>537</v>
      </c>
      <c r="E208" s="4" t="s">
        <v>528</v>
      </c>
      <c r="F208" s="5" t="s">
        <v>2</v>
      </c>
      <c r="G208" s="4" t="s">
        <v>579</v>
      </c>
    </row>
    <row r="209" spans="1:7" s="4" customFormat="1" x14ac:dyDescent="0.25">
      <c r="A209" s="4" t="s">
        <v>580</v>
      </c>
      <c r="B209" s="4" t="s">
        <v>572</v>
      </c>
      <c r="C209" s="4" t="s">
        <v>13</v>
      </c>
      <c r="D209" s="4" t="s">
        <v>540</v>
      </c>
      <c r="E209" s="4" t="s">
        <v>528</v>
      </c>
      <c r="F209" s="5" t="s">
        <v>2</v>
      </c>
      <c r="G209" s="4" t="s">
        <v>579</v>
      </c>
    </row>
    <row r="210" spans="1:7" s="4" customFormat="1" x14ac:dyDescent="0.25">
      <c r="A210" s="4" t="s">
        <v>581</v>
      </c>
      <c r="B210" s="4" t="s">
        <v>572</v>
      </c>
      <c r="C210" s="4" t="s">
        <v>13</v>
      </c>
      <c r="D210" s="4" t="s">
        <v>542</v>
      </c>
      <c r="E210" s="4" t="s">
        <v>528</v>
      </c>
      <c r="F210" s="5" t="s">
        <v>2</v>
      </c>
      <c r="G210" s="4" t="s">
        <v>579</v>
      </c>
    </row>
    <row r="211" spans="1:7" s="4" customFormat="1" x14ac:dyDescent="0.25">
      <c r="A211" s="4" t="s">
        <v>582</v>
      </c>
      <c r="B211" s="4" t="s">
        <v>572</v>
      </c>
      <c r="C211" s="4" t="s">
        <v>13</v>
      </c>
      <c r="D211" s="4" t="s">
        <v>544</v>
      </c>
      <c r="E211" s="4" t="s">
        <v>528</v>
      </c>
      <c r="F211" s="5" t="s">
        <v>2</v>
      </c>
      <c r="G211" s="4" t="s">
        <v>583</v>
      </c>
    </row>
    <row r="212" spans="1:7" s="4" customFormat="1" x14ac:dyDescent="0.25">
      <c r="A212" s="4" t="s">
        <v>584</v>
      </c>
      <c r="B212" s="4" t="s">
        <v>572</v>
      </c>
      <c r="C212" s="4" t="s">
        <v>13</v>
      </c>
      <c r="D212" s="4" t="s">
        <v>547</v>
      </c>
      <c r="E212" s="4" t="s">
        <v>528</v>
      </c>
      <c r="F212" s="5" t="s">
        <v>2</v>
      </c>
      <c r="G212" s="4" t="s">
        <v>585</v>
      </c>
    </row>
    <row r="213" spans="1:7" s="4" customFormat="1" x14ac:dyDescent="0.25">
      <c r="A213" s="4" t="s">
        <v>586</v>
      </c>
      <c r="B213" s="4" t="s">
        <v>572</v>
      </c>
      <c r="C213" s="4" t="s">
        <v>13</v>
      </c>
      <c r="D213" s="4" t="s">
        <v>550</v>
      </c>
      <c r="E213" s="4" t="s">
        <v>528</v>
      </c>
      <c r="F213" s="5" t="s">
        <v>2</v>
      </c>
      <c r="G213" s="4" t="s">
        <v>587</v>
      </c>
    </row>
    <row r="214" spans="1:7" s="4" customFormat="1" x14ac:dyDescent="0.25">
      <c r="A214" s="4" t="s">
        <v>588</v>
      </c>
      <c r="B214" s="4" t="s">
        <v>572</v>
      </c>
      <c r="C214" s="4" t="s">
        <v>13</v>
      </c>
      <c r="D214" s="4" t="s">
        <v>553</v>
      </c>
      <c r="E214" s="4" t="s">
        <v>528</v>
      </c>
      <c r="F214" s="5" t="s">
        <v>2</v>
      </c>
      <c r="G214" s="4" t="s">
        <v>589</v>
      </c>
    </row>
    <row r="215" spans="1:7" s="4" customFormat="1" x14ac:dyDescent="0.25">
      <c r="A215" s="4" t="s">
        <v>590</v>
      </c>
      <c r="B215" s="4" t="s">
        <v>572</v>
      </c>
      <c r="C215" s="4" t="s">
        <v>13</v>
      </c>
      <c r="D215" s="4" t="s">
        <v>556</v>
      </c>
      <c r="E215" s="4" t="s">
        <v>528</v>
      </c>
      <c r="F215" s="5" t="s">
        <v>2</v>
      </c>
      <c r="G215" s="4" t="s">
        <v>589</v>
      </c>
    </row>
    <row r="216" spans="1:7" s="4" customFormat="1" x14ac:dyDescent="0.25">
      <c r="A216" s="4" t="s">
        <v>591</v>
      </c>
      <c r="B216" s="4" t="s">
        <v>572</v>
      </c>
      <c r="C216" s="4" t="s">
        <v>13</v>
      </c>
      <c r="D216" s="4" t="s">
        <v>592</v>
      </c>
      <c r="E216" s="4" t="s">
        <v>593</v>
      </c>
      <c r="F216" s="5" t="s">
        <v>2</v>
      </c>
      <c r="G216" s="4" t="s">
        <v>594</v>
      </c>
    </row>
    <row r="217" spans="1:7" s="4" customFormat="1" x14ac:dyDescent="0.25">
      <c r="A217" s="4" t="s">
        <v>595</v>
      </c>
      <c r="B217" s="4" t="s">
        <v>438</v>
      </c>
      <c r="C217" s="4" t="s">
        <v>13</v>
      </c>
      <c r="D217" s="4" t="s">
        <v>596</v>
      </c>
      <c r="E217" s="4" t="s">
        <v>597</v>
      </c>
      <c r="F217" s="6" t="s">
        <v>6</v>
      </c>
      <c r="G217" s="4" t="s">
        <v>598</v>
      </c>
    </row>
    <row r="218" spans="1:7" s="4" customFormat="1" x14ac:dyDescent="0.25">
      <c r="A218" s="4" t="s">
        <v>599</v>
      </c>
      <c r="B218" s="4" t="s">
        <v>600</v>
      </c>
      <c r="C218" s="4" t="s">
        <v>14</v>
      </c>
      <c r="D218" s="4" t="s">
        <v>601</v>
      </c>
      <c r="E218" s="4" t="s">
        <v>602</v>
      </c>
      <c r="F218" s="5" t="s">
        <v>2</v>
      </c>
      <c r="G218" s="4" t="s">
        <v>603</v>
      </c>
    </row>
    <row r="219" spans="1:7" s="4" customFormat="1" x14ac:dyDescent="0.25">
      <c r="A219" s="4" t="s">
        <v>604</v>
      </c>
      <c r="B219" s="4" t="s">
        <v>600</v>
      </c>
      <c r="C219" s="4" t="s">
        <v>14</v>
      </c>
      <c r="D219" s="4" t="s">
        <v>605</v>
      </c>
      <c r="E219" s="4" t="s">
        <v>602</v>
      </c>
      <c r="F219" s="5" t="s">
        <v>2</v>
      </c>
      <c r="G219" s="4" t="s">
        <v>606</v>
      </c>
    </row>
    <row r="220" spans="1:7" s="4" customFormat="1" x14ac:dyDescent="0.25">
      <c r="A220" s="4" t="s">
        <v>607</v>
      </c>
      <c r="B220" s="4" t="s">
        <v>600</v>
      </c>
      <c r="C220" s="4" t="s">
        <v>14</v>
      </c>
      <c r="D220" s="4" t="s">
        <v>608</v>
      </c>
      <c r="E220" s="4" t="s">
        <v>602</v>
      </c>
      <c r="F220" s="5" t="s">
        <v>2</v>
      </c>
      <c r="G220" s="4" t="s">
        <v>609</v>
      </c>
    </row>
    <row r="221" spans="1:7" s="4" customFormat="1" x14ac:dyDescent="0.25">
      <c r="A221" s="4" t="s">
        <v>610</v>
      </c>
      <c r="B221" s="4" t="s">
        <v>600</v>
      </c>
      <c r="C221" s="4" t="s">
        <v>14</v>
      </c>
      <c r="D221" s="4" t="s">
        <v>611</v>
      </c>
      <c r="E221" s="4" t="s">
        <v>602</v>
      </c>
      <c r="F221" s="5" t="s">
        <v>2</v>
      </c>
      <c r="G221" s="4" t="s">
        <v>612</v>
      </c>
    </row>
  </sheetData>
  <autoFilter ref="A1:G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6" customWidth="1"/>
    <col min="2" max="2" width="26" customWidth="1"/>
    <col min="3" max="4" width="60" customWidth="1"/>
    <col min="5" max="5" width="10" customWidth="1"/>
  </cols>
  <sheetData>
    <row r="1" spans="1:5" s="3" customFormat="1" x14ac:dyDescent="0.25">
      <c r="A1" s="3" t="s">
        <v>613</v>
      </c>
      <c r="B1" s="3" t="s">
        <v>614</v>
      </c>
      <c r="C1" s="3" t="s">
        <v>615</v>
      </c>
      <c r="D1" s="3" t="s">
        <v>616</v>
      </c>
      <c r="E1" s="3" t="s">
        <v>617</v>
      </c>
    </row>
    <row r="2" spans="1:5" s="4" customFormat="1" x14ac:dyDescent="0.25">
      <c r="A2" s="4">
        <v>1</v>
      </c>
      <c r="B2" s="4" t="s">
        <v>618</v>
      </c>
      <c r="C2" s="4" t="s">
        <v>619</v>
      </c>
      <c r="D2" s="4" t="s">
        <v>620</v>
      </c>
      <c r="E2" s="4" t="s">
        <v>621</v>
      </c>
    </row>
    <row r="3" spans="1:5" s="4" customFormat="1" x14ac:dyDescent="0.25">
      <c r="A3" s="4">
        <v>2</v>
      </c>
      <c r="B3" s="4" t="s">
        <v>622</v>
      </c>
      <c r="C3" s="4" t="s">
        <v>623</v>
      </c>
      <c r="D3" s="4" t="s">
        <v>624</v>
      </c>
      <c r="E3" s="4" t="s">
        <v>621</v>
      </c>
    </row>
    <row r="4" spans="1:5" s="4" customFormat="1" x14ac:dyDescent="0.25">
      <c r="A4" s="4">
        <v>3</v>
      </c>
      <c r="B4" s="4" t="s">
        <v>622</v>
      </c>
      <c r="C4" s="4" t="s">
        <v>625</v>
      </c>
      <c r="D4" s="4" t="s">
        <v>626</v>
      </c>
      <c r="E4" s="4" t="s">
        <v>621</v>
      </c>
    </row>
    <row r="5" spans="1:5" s="4" customFormat="1" x14ac:dyDescent="0.25">
      <c r="A5" s="4">
        <v>4</v>
      </c>
      <c r="B5" s="4" t="s">
        <v>618</v>
      </c>
      <c r="C5" s="4" t="s">
        <v>627</v>
      </c>
      <c r="D5" s="4" t="s">
        <v>628</v>
      </c>
      <c r="E5" s="4" t="s">
        <v>621</v>
      </c>
    </row>
    <row r="6" spans="1:5" s="4" customFormat="1" x14ac:dyDescent="0.25">
      <c r="A6" s="4">
        <v>5</v>
      </c>
      <c r="B6" s="4" t="s">
        <v>629</v>
      </c>
      <c r="C6" s="4" t="s">
        <v>630</v>
      </c>
      <c r="D6" s="4" t="s">
        <v>631</v>
      </c>
      <c r="E6" s="4" t="s">
        <v>621</v>
      </c>
    </row>
    <row r="7" spans="1:5" s="4" customFormat="1" x14ac:dyDescent="0.25">
      <c r="A7" s="4">
        <v>6</v>
      </c>
      <c r="B7" s="4" t="s">
        <v>632</v>
      </c>
      <c r="C7" s="4" t="s">
        <v>633</v>
      </c>
      <c r="D7" s="4" t="s">
        <v>634</v>
      </c>
      <c r="E7" s="4" t="s">
        <v>621</v>
      </c>
    </row>
    <row r="8" spans="1:5" s="4" customFormat="1" x14ac:dyDescent="0.25">
      <c r="A8" s="4">
        <v>7</v>
      </c>
      <c r="B8" s="4" t="s">
        <v>635</v>
      </c>
      <c r="C8" s="4" t="s">
        <v>636</v>
      </c>
      <c r="D8" s="4" t="s">
        <v>637</v>
      </c>
      <c r="E8" s="4" t="s">
        <v>621</v>
      </c>
    </row>
    <row r="9" spans="1:5" s="4" customFormat="1" x14ac:dyDescent="0.25">
      <c r="A9" s="4">
        <v>8</v>
      </c>
      <c r="B9" s="4" t="s">
        <v>638</v>
      </c>
      <c r="C9" s="4" t="s">
        <v>639</v>
      </c>
      <c r="D9" s="4" t="s">
        <v>640</v>
      </c>
      <c r="E9" s="4" t="s">
        <v>621</v>
      </c>
    </row>
    <row r="10" spans="1:5" s="4" customFormat="1" x14ac:dyDescent="0.25">
      <c r="A10" s="4">
        <v>9</v>
      </c>
      <c r="B10" s="4" t="s">
        <v>641</v>
      </c>
      <c r="C10" s="4" t="s">
        <v>642</v>
      </c>
      <c r="D10" s="4" t="s">
        <v>643</v>
      </c>
      <c r="E10" s="4" t="s">
        <v>621</v>
      </c>
    </row>
    <row r="11" spans="1:5" s="4" customFormat="1" x14ac:dyDescent="0.25">
      <c r="A11" s="4">
        <v>10</v>
      </c>
      <c r="B11" s="4" t="s">
        <v>638</v>
      </c>
      <c r="C11" s="4" t="s">
        <v>644</v>
      </c>
      <c r="D11" s="4" t="s">
        <v>645</v>
      </c>
      <c r="E11" s="4" t="s">
        <v>621</v>
      </c>
    </row>
    <row r="12" spans="1:5" s="4" customFormat="1" x14ac:dyDescent="0.25">
      <c r="A12" s="4">
        <v>11</v>
      </c>
      <c r="B12" s="4" t="s">
        <v>646</v>
      </c>
      <c r="C12" s="4" t="s">
        <v>647</v>
      </c>
      <c r="D12" s="4" t="s">
        <v>648</v>
      </c>
      <c r="E12" s="4" t="s">
        <v>621</v>
      </c>
    </row>
    <row r="13" spans="1:5" s="4" customFormat="1" x14ac:dyDescent="0.25">
      <c r="A13" s="4">
        <v>12</v>
      </c>
      <c r="B13" s="4" t="s">
        <v>649</v>
      </c>
      <c r="C13" s="4" t="s">
        <v>650</v>
      </c>
      <c r="D13" s="4" t="s">
        <v>651</v>
      </c>
      <c r="E13" s="4" t="s">
        <v>621</v>
      </c>
    </row>
    <row r="14" spans="1:5" s="4" customFormat="1" x14ac:dyDescent="0.25">
      <c r="A14" s="4">
        <v>13</v>
      </c>
      <c r="B14" s="4" t="s">
        <v>652</v>
      </c>
      <c r="C14" s="4" t="s">
        <v>653</v>
      </c>
      <c r="D14" s="4" t="s">
        <v>654</v>
      </c>
      <c r="E14" s="4" t="s">
        <v>621</v>
      </c>
    </row>
    <row r="15" spans="1:5" s="4" customFormat="1" x14ac:dyDescent="0.25">
      <c r="A15" s="4">
        <v>14</v>
      </c>
      <c r="B15" s="4" t="s">
        <v>655</v>
      </c>
      <c r="C15" s="4" t="s">
        <v>656</v>
      </c>
      <c r="D15" s="4" t="s">
        <v>657</v>
      </c>
      <c r="E15" s="4" t="s">
        <v>621</v>
      </c>
    </row>
    <row r="16" spans="1:5" s="4" customFormat="1" x14ac:dyDescent="0.25">
      <c r="A16" s="4">
        <v>15</v>
      </c>
      <c r="B16" s="4" t="s">
        <v>658</v>
      </c>
      <c r="C16" s="4" t="s">
        <v>659</v>
      </c>
      <c r="D16" s="4" t="s">
        <v>660</v>
      </c>
      <c r="E16" s="4" t="s">
        <v>621</v>
      </c>
    </row>
  </sheetData>
  <autoFilter ref="A1:E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</vt:lpstr>
      <vt:lpstr>Test cases</vt:lpstr>
      <vt:lpstr>Defects &amp; fixes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GoKesari</dc:creator>
  <dc:title/>
  <dc:subject/>
  <dc:description/>
  <cp:keywords/>
  <cp:category/>
  <cp:lastModifiedBy>Unknown</cp:lastModifiedBy>
  <dcterms:created xsi:type="dcterms:W3CDTF">2026-10-15T16:08:59Z</dcterms:created>
  <dcterms:modified xsi:type="dcterms:W3CDTF">2026-10-15T16:08:59Z</dcterms:modified>
</cp:coreProperties>
</file>