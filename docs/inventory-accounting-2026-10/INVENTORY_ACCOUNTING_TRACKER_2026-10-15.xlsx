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Features" state="visible" r:id="rId5"/>
    <sheet sheetId="3" name="Blocked &amp; owner actions" state="visible" r:id="rId6"/>
  </sheets>
  <calcPr calcId="171027"/>
</workbook>
</file>

<file path=xl/sharedStrings.xml><?xml version="1.0" encoding="utf-8"?>
<sst xmlns="http://schemas.openxmlformats.org/spreadsheetml/2006/main" count="397" uniqueCount="225">
  <si>
    <t>Inventory &amp; Accounting for shop owners — feature tracker (2026-10-15)</t>
  </si>
  <si>
    <t>Status: Done / In progress / Not started / Blocked (dropdown in 'Features' column F). Counts below are formulas.</t>
  </si>
  <si>
    <t>Status</t>
  </si>
  <si>
    <t>Features</t>
  </si>
  <si>
    <t>Done</t>
  </si>
  <si>
    <t>In progress</t>
  </si>
  <si>
    <t>Not started</t>
  </si>
  <si>
    <t>Blocked</t>
  </si>
  <si>
    <t>Total</t>
  </si>
  <si>
    <t>Part</t>
  </si>
  <si>
    <t>1 Inventory</t>
  </si>
  <si>
    <t>2 Accounting</t>
  </si>
  <si>
    <t>3 GST portal</t>
  </si>
  <si>
    <t>4 Soft copy</t>
  </si>
  <si>
    <t>5 Hard copy</t>
  </si>
  <si>
    <t>6 Review</t>
  </si>
  <si>
    <t>7 Data &amp; security</t>
  </si>
  <si>
    <t>UI</t>
  </si>
  <si>
    <t>Mobile</t>
  </si>
  <si>
    <t>QA</t>
  </si>
  <si>
    <t>ID</t>
  </si>
  <si>
    <t>Feature / sub-feature</t>
  </si>
  <si>
    <t>What it does</t>
  </si>
  <si>
    <t>Where it runs</t>
  </si>
  <si>
    <t>Notes / blocked on</t>
  </si>
  <si>
    <t>IA-001</t>
  </si>
  <si>
    <t>Product master per shop</t>
  </si>
  <si>
    <t>Listings linked to the gokesari.com master product (MRP, HSN, GST rate, unit, barcode/GTIN); shop-level HSN/GST/price stay per shop</t>
  </si>
  <si>
    <t/>
  </si>
  <si>
    <t>IA-002</t>
  </si>
  <si>
    <t>Stock ledger</t>
  </si>
  <si>
    <t>inv_stock_ledger: every movement (opening, purchase, sale, sale return, damage/expiry write-off, adjustment, reversal) with date, source document, qty, cost/rate, user; current stock = sum of the ledger</t>
  </si>
  <si>
    <t>IA-003</t>
  </si>
  <si>
    <t>Online orders reduce stock in real time</t>
  </si>
  <si>
    <t>DB triggers on shop_products / inventory_movements write the ledger row in the checkout / cancellation / subscription / catalogue transaction (event-driven, no cron, existing code unchanged)</t>
  </si>
  <si>
    <t>Verified on test.gokesari.com with a real customer order (stock 199 → 198, SALE row with the order id) and its cancellation; a cancellation is labelled SALE_RETURN since migration 0078 (found in staging testing)</t>
  </si>
  <si>
    <t>IA-004</t>
  </si>
  <si>
    <t>Opening balance backfill</t>
  </si>
  <si>
    <t>Migration 0076 writes today's stock of every listing as OPENING so ledger = stock from day one; drift check on the stock page</t>
  </si>
  <si>
    <t>IA-005</t>
  </si>
  <si>
    <t>Batch &amp; expiry tracking</t>
  </si>
  <si>
    <t>Per listing (auto-on when a bill has batch numbers); FEFO batch balances; expiring-soon list with alert window setting</t>
  </si>
  <si>
    <t>IA-006</t>
  </si>
  <si>
    <t>Low stock / reorder level</t>
  </si>
  <si>
    <t>Existing per-shop thresholds and stock alerts reused; purchases and write-offs re-evaluate alerts</t>
  </si>
  <si>
    <t>IA-007</t>
  </si>
  <si>
    <t>Stock valuation FIFO / weighted average</t>
  </si>
  <si>
    <t>Selectable per shop; reversals take back exactly the reversed cost; uncosted opening stock valued at last purchase rate and reported</t>
  </si>
  <si>
    <t>IA-008</t>
  </si>
  <si>
    <t>Loose goods &amp; unit conversions</t>
  </si>
  <si>
    <t>kg/g/L/ml/piece/dozen, UQC codes, Hindi/Marathi unit words; owner-saved conversions (1 case = 24); fractional quantities exact in the ledger</t>
  </si>
  <si>
    <t>IA-009</t>
  </si>
  <si>
    <t>Write-off and physical count</t>
  </si>
  <si>
    <t>Damage / expiry write-off at cost (P&amp;L line); physical count posts the difference as an adjustment</t>
  </si>
  <si>
    <t>IA-010</t>
  </si>
  <si>
    <t>Purchase register</t>
  </si>
  <si>
    <t>Confirmed bills, versions, cancellations; month filter</t>
  </si>
  <si>
    <t>IA-011</t>
  </si>
  <si>
    <t>Sales register</t>
  </si>
  <si>
    <t>Own GST invoices plus GoKesari order tax invoices</t>
  </si>
  <si>
    <t>IA-012</t>
  </si>
  <si>
    <t>Supplier &amp; customer ledgers</t>
  </si>
  <si>
    <t>Parties with GSTIN, credit days, opening balance; running-balance ledger from the books</t>
  </si>
  <si>
    <t>IA-013</t>
  </si>
  <si>
    <t>Cash / bank book</t>
  </si>
  <si>
    <t>Opening, in, out, closing, running balance</t>
  </si>
  <si>
    <t>IA-014</t>
  </si>
  <si>
    <t>Expenses</t>
  </si>
  <si>
    <t>Categories, claimable GST, cash/bank/credit, cancel with reason</t>
  </si>
  <si>
    <t>IA-015</t>
  </si>
  <si>
    <t>Payables / receivables with ageing</t>
  </si>
  <si>
    <t>0-30 / 31-60 / 61-90 / 90+ by due date; payments applied to the named bill, then oldest first</t>
  </si>
  <si>
    <t>IA-016</t>
  </si>
  <si>
    <t>Double-entry books</t>
  </si>
  <si>
    <t>Balanced vouchers, append-only, reversing vouchers for corrections and cancellations; trial balance</t>
  </si>
  <si>
    <t>IA-017</t>
  </si>
  <si>
    <t>GST sales invoice (CGST/SGST/IGST by place of supply)</t>
  </si>
  <si>
    <t>Rule-46 fields, numbering per FY, GST-inclusive pricing option, PDF, cancel</t>
  </si>
  <si>
    <t>IA-018</t>
  </si>
  <si>
    <t>Reports: P&amp;L, stock summary, day book, GST summary, registers</t>
  </si>
  <si>
    <t>Perpetual COGS, write-offs, expenses net of GST</t>
  </si>
  <si>
    <t>IA-019</t>
  </si>
  <si>
    <t>Export Excel / PDF / Tally XML</t>
  </si>
  <si>
    <t>Every report as xlsx and PDF; Tally import XML with party masters (GSTIN) and vouchers</t>
  </si>
  <si>
    <t>Tally import to be confirmed on the shop's own TallyPrime</t>
  </si>
  <si>
    <t>IA-020</t>
  </si>
  <si>
    <t>Link GSTIN once (consent + OTP)</t>
  </si>
  <si>
    <t>Consent text recorded, portal username, OTP, token stored encrypted, unlink</t>
  </si>
  <si>
    <t>Consent + username + OTP through the GSP adapter; refused on production (no licensed GSP, IA-022). On test.gokesari.com blocked by the encryption key format (IA-056) — tokens are never stored unencrypted. Passes in the integration tests (mock GSP)</t>
  </si>
  <si>
    <t>IA-021</t>
  </si>
  <si>
    <t>Pluggable GSP adapter</t>
  </si>
  <si>
    <t>GST_RETURNS_PROVIDER: none / mock / GSP slots (masters_india, cleartax, iris, tally_gsp, vayana)</t>
  </si>
  <si>
    <t>IA-022</t>
  </si>
  <si>
    <t>Licensed GSP live connection</t>
  </si>
  <si>
    <t>Real GSTR-2B/2A/1 pull from the GST system</t>
  </si>
  <si>
    <t>Code on undefined; not switched on</t>
  </si>
  <si>
    <t>Needs a GSP contract and API credentials chosen by the owner; until then the manual upload works on gokesari.com</t>
  </si>
  <si>
    <t>IA-023</t>
  </si>
  <si>
    <t>Pull GSTR-2B / 2A / GSTR-1 (API)</t>
  </si>
  <si>
    <t>Through the configured adapter; mock on test.gokesari.com</t>
  </si>
  <si>
    <t>Live only with a GSP (IA-022); on test blocked by IA-056. Passes in the integration tests (mock GSP, OTP 575757)</t>
  </si>
  <si>
    <t>IA-024</t>
  </si>
  <si>
    <t>Manual fallback: upload GSTR-2B JSON / Excel</t>
  </si>
  <si>
    <t>GSTR-2B JSON (both shapes), GSTR-2A, GSTR-1 JSON, GSTR-2B Excel with merged headers</t>
  </si>
  <si>
    <t>IA-025</t>
  </si>
  <si>
    <t>Reconciliation</t>
  </si>
  <si>
    <t>Supplier GSTIN + invoice no. + date + amount; matched, amount mismatch, missing in books, missing on portal; ITC status updated</t>
  </si>
  <si>
    <t>IA-026</t>
  </si>
  <si>
    <t>GST liability dashboard (month / quarter)</t>
  </si>
  <si>
    <t>Output - reconciled ITC = net payable per CGST/SGST/IGST/cess with the legal set-off order and carry forward; pending ITC shown separately</t>
  </si>
  <si>
    <t>IA-027</t>
  </si>
  <si>
    <t>Due dates and reminders</t>
  </si>
  <si>
    <t>Monthly / QRMP due dates (GSTR-1, GSTR-3B, PMT-06); daily reminder cron, one reminder per return and period</t>
  </si>
  <si>
    <t>Owner to schedule /api/cron/gst-reminders on the server (see README)</t>
  </si>
  <si>
    <t>IA-028</t>
  </si>
  <si>
    <t>Estimates only, no filing</t>
  </si>
  <si>
    <t>'Verify with your CA before filing' on every GST figure; nothing is filed</t>
  </si>
  <si>
    <t>IA-029</t>
  </si>
  <si>
    <t>Upload PDF / photo / Excel / e-invoice JSON</t>
  </si>
  <si>
    <t>Up to 10 files, sniffed types, progress bar for slow networks</t>
  </si>
  <si>
    <t>IA-030</t>
  </si>
  <si>
    <t>Share to app (WhatsApp / email / Files)</t>
  </si>
  <si>
    <t>PWA share target: installed site on Android receives shared bills</t>
  </si>
  <si>
    <t>IA-031</t>
  </si>
  <si>
    <t>Share straight into the native Android/iOS app</t>
  </si>
  <si>
    <t>Native share-intent module + new store build</t>
  </si>
  <si>
    <t>Needs a native share-intent module and an EAS store build tested on a device; share to the installed website or forward by email meanwhile</t>
  </si>
  <si>
    <t>IA-032</t>
  </si>
  <si>
    <t>Forward by email</t>
  </si>
  <si>
    <t>Private per-shop address bills+&lt;id&gt;-&lt;sig&gt;@domain; inbound webhook /api/inbound/bill-email</t>
  </si>
  <si>
    <t>Code done and tested; needs an inbound mail provider + INBOUND_EMAIL_SECRET / INBOUND_EMAIL_DOMAIN on the server</t>
  </si>
  <si>
    <t>IA-033</t>
  </si>
  <si>
    <t>E-invoice JSON / signed QR as trusted source</t>
  </si>
  <si>
    <t>IRP JSON (plain or signed), signed QR decoded from photos and PDFs; RS256 check when NIC key configured</t>
  </si>
  <si>
    <t>Signature check needs EINVOICE_QR_PUBLIC_KEY (NIC public key)</t>
  </si>
  <si>
    <t>IA-034</t>
  </si>
  <si>
    <t>AI document parsing</t>
  </si>
  <si>
    <t>Claude reads supplier, GSTIN, number, date, lines, totals with per-field confidence</t>
  </si>
  <si>
    <t>Code done; needs ANTHROPIC_API_KEY + INVOICE_EXTRACTION_PROVIDER=claude on the servers (owner decision: bills are sent to Anthropic for reading)</t>
  </si>
  <si>
    <t>IA-035</t>
  </si>
  <si>
    <t>Local extraction fallback</t>
  </si>
  <si>
    <t>Excel item tables, PDF text layer, OCR text with rules</t>
  </si>
  <si>
    <t>OCR worker does not start on Hostinger (same as the document reader, NEW-062): photos fall back to typing</t>
  </si>
  <si>
    <t>IA-036</t>
  </si>
  <si>
    <t>Match lines to product master</t>
  </si>
  <si>
    <t>Remembered supplier mapping, barcode/GTIN, HSN + name, name; suggestions; create new product (reuses the master by barcode)</t>
  </si>
  <si>
    <t>IA-037</t>
  </si>
  <si>
    <t>Validation</t>
  </si>
  <si>
    <t>Line maths, GST maths, totals = invoice total, GSTIN format + check digit, duplicate (supplier + number), e-invoice QR agreement, place of supply</t>
  </si>
  <si>
    <t>IA-038</t>
  </si>
  <si>
    <t>Camera scan (web + app)</t>
  </si>
  <si>
    <t>Edge detection, crop, de-skew, enhance (colour / grey / B&amp;W), corner adjust, multi-page, blur warning, small JPEGs</t>
  </si>
  <si>
    <t>IA-039</t>
  </si>
  <si>
    <t>OCR + AI for printed and handwritten bills (English, Hindi, Marathi)</t>
  </si>
  <si>
    <t>AI reader handles handwriting and Hindi/Marathi; local OCR English only</t>
  </si>
  <si>
    <t>Hindi/Marathi and handwriting need the AI reader (IA-034)</t>
  </si>
  <si>
    <t>IA-040</t>
  </si>
  <si>
    <t>Per-field confidence, low confidence highlighted</t>
  </si>
  <si>
    <t>Amber = not sure, red = must fix; confidence % next to the field</t>
  </si>
  <si>
    <t>IA-041</t>
  </si>
  <si>
    <t>Side-by-side review &amp; correction screen</t>
  </si>
  <si>
    <t>Original bill + editable table (phone: switch); edit any field, add/remove lines, change mapping, auto-save</t>
  </si>
  <si>
    <t>IA-042</t>
  </si>
  <si>
    <t>Nothing touches stock until Confirm</t>
  </si>
  <si>
    <t>Captures hold drafts only</t>
  </si>
  <si>
    <t>IA-043</t>
  </si>
  <si>
    <t>Confirm in one DB transaction</t>
  </si>
  <si>
    <t>Stock + cost + batches, purchase, supplier ledger, ITC record, mappings, files</t>
  </si>
  <si>
    <t>IA-044</t>
  </si>
  <si>
    <t>Post-confirmation correction</t>
  </si>
  <si>
    <t>Reopen -&gt; reversing + corrected entries in stock, books and ITC; never an overwrite</t>
  </si>
  <si>
    <t>IA-045</t>
  </si>
  <si>
    <t>Audit trail</t>
  </si>
  <si>
    <t>acc_change_log: who, when, old value, new value, reason; shown on the bill</t>
  </si>
  <si>
    <t>IA-046</t>
  </si>
  <si>
    <t>Corrections feed back into extraction</t>
  </si>
  <si>
    <t>Supplier-specific product + unit mappings used first on the next bill</t>
  </si>
  <si>
    <t>IA-047</t>
  </si>
  <si>
    <t>Seller DB tables scoped by shop_id</t>
  </si>
  <si>
    <t>24 tables, ownership map; every API checks the shop; isolation tested</t>
  </si>
  <si>
    <t>IA-048</t>
  </si>
  <si>
    <t>Encryption at rest</t>
  </si>
  <si>
    <t>GST tokens (AES-256-GCM); uploaded bills encrypted when INTEGRATION_ENCRYPTION_KEY is set</t>
  </si>
  <si>
    <t>GST portal tokens: always encrypted (refused without a valid key). Stored bills: encrypted when INTEGRATION_ENCRYPTION_KEY is valid (IA-056); always served only through the access-checked route</t>
  </si>
  <si>
    <t>IA-049</t>
  </si>
  <si>
    <t>Object storage with per-shop access control</t>
  </si>
  <si>
    <t>S3-compatible bucket (ACCOUNTS_STORAGE=s3) or MEDIA_DIR / DB; served only via the access-checked route</t>
  </si>
  <si>
    <t>Code done; bucket credentials not configured yet, so files are in the database / MEDIA_DIR</t>
  </si>
  <si>
    <t>IA-050</t>
  </si>
  <si>
    <t>Background job queue + progress</t>
  </si>
  <si>
    <t>inv_bill_captures queue with progress %, SKIP LOCKED, retry; cron safety net</t>
  </si>
  <si>
    <t>Owner to schedule /api/cron/bill-captures (optional safety net)</t>
  </si>
  <si>
    <t>IA-051</t>
  </si>
  <si>
    <t>Real-time notification when ready</t>
  </si>
  <si>
    <t>In-app (+ email) notification and live progress polling on the screen</t>
  </si>
  <si>
    <t>IA-052</t>
  </si>
  <si>
    <t>Slow networks / one screen</t>
  </si>
  <si>
    <t>Compressed scans, upload progress, Tile Board one-screen hub, phone layouts</t>
  </si>
  <si>
    <t>Board and GST page were ~40 s on test.gokesari.com (database far from the web server); fixed in #172 — every module page ~4 s on test (Seller Central /shop ~8 s there)</t>
  </si>
  <si>
    <t>IA-053</t>
  </si>
  <si>
    <t>Theme 1 Tile Board hub (web + app)</t>
  </si>
  <si>
    <t>/shop/accounts with 12 tiles, live counts, 4 headline figures, EN/HI/MR; Inventory tile 'Bills &amp; GST' and Finance hub links</t>
  </si>
  <si>
    <t>IA-054</t>
  </si>
  <si>
    <t>Android and iOS apps</t>
  </si>
  <si>
    <t>WebView apps show the module on deploy (no store update); camera via photo picker; downloads via bridge</t>
  </si>
  <si>
    <t>Native share-intent is IA-031</t>
  </si>
  <si>
    <t>IA-055</t>
  </si>
  <si>
    <t>Testing on test.gokesari.com and gokesari.com</t>
  </si>
  <si>
    <t>Unit, integration, E2E; staging functional run; production read-only checks</t>
  </si>
  <si>
    <t>Local: 149 module unit/integration + E2E 11/11; CI full suite 1,915 tests green on the release. test.gokesari.com: smoke 11/11, functional 26/27 + live order/cancel PASS (GST link blocked by IA-056). gokesari.com: read-only smoke 11/11 after release #179. See TESTING_REPORT.md</t>
  </si>
  <si>
    <t>IA-056</t>
  </si>
  <si>
    <t>Encryption key on the servers</t>
  </si>
  <si>
    <t>INTEGRATION_ENCRYPTION_KEY (base64, 32 bytes) set on test.gokesari.com and gokesari.com — needed for GST portal linking and for encrypting stored bills</t>
  </si>
  <si>
    <t>Owner added the variable on test and production (15 Oct), but the value is not base64 of 32 bytes: test.gokesari.com reports encryption not configured (/api/shops/{id}/integration → ready.encryption=false) and GST linking answers 500. Fix: set the value from `openssl rand -base64 32` (44 characters ending in '='), a different one per site, and redeploy. Nothing has been encrypted with the old values</t>
  </si>
  <si>
    <t>Feature</t>
  </si>
  <si>
    <t>What is needed</t>
  </si>
  <si>
    <t>Who</t>
  </si>
  <si>
    <t>Licensed GSP live connection: Needs a GSP contract and API credentials chosen by the owner; until then the manual upload works on gokesari.com</t>
  </si>
  <si>
    <t>Owner</t>
  </si>
  <si>
    <t>Share straight into the native Android/iOS app: Needs a native share-intent module and an EAS store build tested on a device; share to the installed website or forward by email meanwhile</t>
  </si>
  <si>
    <t>Forward by email: Code done and tested; needs an inbound mail provider + INBOUND_EMAIL_SECRET / INBOUND_EMAIL_DOMAIN on the server</t>
  </si>
  <si>
    <t>AI document parsing: Code done; needs ANTHROPIC_API_KEY + INVOICE_EXTRACTION_PROVIDER=claude on the servers (owner decision: bills are sent to Anthropic for reading)</t>
  </si>
  <si>
    <t>OCR + AI for printed and handwritten bills (English, Hindi, Marathi): Hindi/Marathi and handwriting need the AI reader (IA-034)</t>
  </si>
  <si>
    <t>Object storage with per-shop access control: Code done; bucket credentials not configured yet, so files are in the database / MEDIA_DIR</t>
  </si>
  <si>
    <t>Encryption key on the servers: Owner added the variable on test and production (15 Oct), but the value is not base64 of 32 bytes: test.gokesari.com reports encryption not configured (/api/shops/{id}/integration → ready.encryption=false) and GST linking answers 500. Fix: set the value from `openssl rand -base64 32` (44 characters ending in '='), a different one per site, and redeploy. Nothing has been encrypted with the old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</si>
</sst>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7">
    <fill>
      <patternFill patternType="none"/>
    </fill>
    <fill>
      <patternFill patternType="gray125"/>
    </fill>
    <fill>
      <patternFill patternType="solid">
        <fgColor rgb="FFDCFCE7"/>
      </patternFill>
    </fill>
    <fill>
      <patternFill patternType="solid">
        <fgColor rgb="FFFEF3C7"/>
      </patternFill>
    </fill>
    <fill>
      <patternFill patternType="solid">
        <fgColor rgb="FFF1F5F9"/>
      </patternFill>
    </fill>
    <fill>
      <patternFill patternType="solid">
        <fgColor rgb="FFFEE2E2"/>
      </patternFill>
    </fill>
    <fill>
      <patternFill patternType="solid">
        <fgColor rgb="FFC2410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3" fillId="6" borderId="0" xfId="0" applyFont="1" applyFill="1"/>
    <xf numFmtId="0" fontId="0" fillId="0" borderId="0" xfId="0" applyAlignment="1">
      <alignment vertical="top" wrapText="1"/>
    </xf>
    <xf numFmtId="0" fontId="0" fillId="2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3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1" width="36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4" spans="1:2" s="2" customFormat="1" x14ac:dyDescent="0.25">
      <c r="A4" s="2" t="s">
        <v>2</v>
      </c>
      <c r="B4" s="2" t="s">
        <v>3</v>
      </c>
    </row>
    <row r="5" spans="1:2" x14ac:dyDescent="0.25">
      <c r="A5" s="3" t="s">
        <v>4</v>
      </c>
      <c r="B5">
        <f>COUNTIF(Features!$F$2:$F$500,A5)</f>
      </c>
    </row>
    <row r="6" spans="1:2" x14ac:dyDescent="0.25">
      <c r="A6" s="4" t="s">
        <v>5</v>
      </c>
      <c r="B6">
        <f>COUNTIF(Features!$F$2:$F$500,A6)</f>
      </c>
    </row>
    <row r="7" spans="1:2" x14ac:dyDescent="0.25">
      <c r="A7" s="5" t="s">
        <v>6</v>
      </c>
      <c r="B7">
        <f>COUNTIF(Features!$F$2:$F$500,A7)</f>
      </c>
    </row>
    <row r="8" spans="1:2" x14ac:dyDescent="0.25">
      <c r="A8" s="6" t="s">
        <v>7</v>
      </c>
      <c r="B8">
        <f>COUNTIF(Features!$F$2:$F$500,A8)</f>
      </c>
    </row>
    <row r="9" spans="1:2" s="2" customFormat="1" x14ac:dyDescent="0.25">
      <c r="A9" s="2" t="s">
        <v>8</v>
      </c>
      <c r="B9" s="2">
        <f>SUM(B5:B8)</f>
      </c>
    </row>
    <row r="11" spans="1:5" s="2" customFormat="1" x14ac:dyDescent="0.25">
      <c r="A11" s="2" t="s">
        <v>9</v>
      </c>
      <c r="B11" s="2" t="s">
        <v>4</v>
      </c>
      <c r="C11" s="2" t="s">
        <v>5</v>
      </c>
      <c r="D11" s="2" t="s">
        <v>6</v>
      </c>
      <c r="E11" s="2" t="s">
        <v>7</v>
      </c>
    </row>
    <row r="12" spans="1:5" x14ac:dyDescent="0.25">
      <c r="A12" t="s">
        <v>10</v>
      </c>
      <c r="B12">
        <f>COUNTIFS(Features!$B$2:$B$500,$A12,Features!$F$2:$F$500,"Done")</f>
      </c>
      <c r="C12">
        <f>COUNTIFS(Features!$B$2:$B$500,$A12,Features!$F$2:$F$500,"In progress")</f>
      </c>
      <c r="D12">
        <f>COUNTIFS(Features!$B$2:$B$500,$A12,Features!$F$2:$F$500,"Not started")</f>
      </c>
      <c r="E12">
        <f>COUNTIFS(Features!$B$2:$B$500,$A12,Features!$F$2:$F$500,"Blocked")</f>
      </c>
    </row>
    <row r="13" spans="1:5" x14ac:dyDescent="0.25">
      <c r="A13" t="s">
        <v>11</v>
      </c>
      <c r="B13">
        <f>COUNTIFS(Features!$B$2:$B$500,$A13,Features!$F$2:$F$500,"Done")</f>
      </c>
      <c r="C13">
        <f>COUNTIFS(Features!$B$2:$B$500,$A13,Features!$F$2:$F$500,"In progress")</f>
      </c>
      <c r="D13">
        <f>COUNTIFS(Features!$B$2:$B$500,$A13,Features!$F$2:$F$500,"Not started")</f>
      </c>
      <c r="E13">
        <f>COUNTIFS(Features!$B$2:$B$500,$A13,Features!$F$2:$F$500,"Blocked")</f>
      </c>
    </row>
    <row r="14" spans="1:5" x14ac:dyDescent="0.25">
      <c r="A14" t="s">
        <v>12</v>
      </c>
      <c r="B14">
        <f>COUNTIFS(Features!$B$2:$B$500,$A14,Features!$F$2:$F$500,"Done")</f>
      </c>
      <c r="C14">
        <f>COUNTIFS(Features!$B$2:$B$500,$A14,Features!$F$2:$F$500,"In progress")</f>
      </c>
      <c r="D14">
        <f>COUNTIFS(Features!$B$2:$B$500,$A14,Features!$F$2:$F$500,"Not started")</f>
      </c>
      <c r="E14">
        <f>COUNTIFS(Features!$B$2:$B$500,$A14,Features!$F$2:$F$500,"Blocked")</f>
      </c>
    </row>
    <row r="15" spans="1:5" x14ac:dyDescent="0.25">
      <c r="A15" t="s">
        <v>13</v>
      </c>
      <c r="B15">
        <f>COUNTIFS(Features!$B$2:$B$500,$A15,Features!$F$2:$F$500,"Done")</f>
      </c>
      <c r="C15">
        <f>COUNTIFS(Features!$B$2:$B$500,$A15,Features!$F$2:$F$500,"In progress")</f>
      </c>
      <c r="D15">
        <f>COUNTIFS(Features!$B$2:$B$500,$A15,Features!$F$2:$F$500,"Not started")</f>
      </c>
      <c r="E15">
        <f>COUNTIFS(Features!$B$2:$B$500,$A15,Features!$F$2:$F$500,"Blocked")</f>
      </c>
    </row>
    <row r="16" spans="1:5" x14ac:dyDescent="0.25">
      <c r="A16" t="s">
        <v>14</v>
      </c>
      <c r="B16">
        <f>COUNTIFS(Features!$B$2:$B$500,$A16,Features!$F$2:$F$500,"Done")</f>
      </c>
      <c r="C16">
        <f>COUNTIFS(Features!$B$2:$B$500,$A16,Features!$F$2:$F$500,"In progress")</f>
      </c>
      <c r="D16">
        <f>COUNTIFS(Features!$B$2:$B$500,$A16,Features!$F$2:$F$500,"Not started")</f>
      </c>
      <c r="E16">
        <f>COUNTIFS(Features!$B$2:$B$500,$A16,Features!$F$2:$F$500,"Blocked")</f>
      </c>
    </row>
    <row r="17" spans="1:5" x14ac:dyDescent="0.25">
      <c r="A17" t="s">
        <v>15</v>
      </c>
      <c r="B17">
        <f>COUNTIFS(Features!$B$2:$B$500,$A17,Features!$F$2:$F$500,"Done")</f>
      </c>
      <c r="C17">
        <f>COUNTIFS(Features!$B$2:$B$500,$A17,Features!$F$2:$F$500,"In progress")</f>
      </c>
      <c r="D17">
        <f>COUNTIFS(Features!$B$2:$B$500,$A17,Features!$F$2:$F$500,"Not started")</f>
      </c>
      <c r="E17">
        <f>COUNTIFS(Features!$B$2:$B$500,$A17,Features!$F$2:$F$500,"Blocked")</f>
      </c>
    </row>
    <row r="18" spans="1:5" x14ac:dyDescent="0.25">
      <c r="A18" t="s">
        <v>16</v>
      </c>
      <c r="B18">
        <f>COUNTIFS(Features!$B$2:$B$500,$A18,Features!$F$2:$F$500,"Done")</f>
      </c>
      <c r="C18">
        <f>COUNTIFS(Features!$B$2:$B$500,$A18,Features!$F$2:$F$500,"In progress")</f>
      </c>
      <c r="D18">
        <f>COUNTIFS(Features!$B$2:$B$500,$A18,Features!$F$2:$F$500,"Not started")</f>
      </c>
      <c r="E18">
        <f>COUNTIFS(Features!$B$2:$B$500,$A18,Features!$F$2:$F$500,"Blocked")</f>
      </c>
    </row>
    <row r="19" spans="1:5" x14ac:dyDescent="0.25">
      <c r="A19" t="s">
        <v>17</v>
      </c>
      <c r="B19">
        <f>COUNTIFS(Features!$B$2:$B$500,$A19,Features!$F$2:$F$500,"Done")</f>
      </c>
      <c r="C19">
        <f>COUNTIFS(Features!$B$2:$B$500,$A19,Features!$F$2:$F$500,"In progress")</f>
      </c>
      <c r="D19">
        <f>COUNTIFS(Features!$B$2:$B$500,$A19,Features!$F$2:$F$500,"Not started")</f>
      </c>
      <c r="E19">
        <f>COUNTIFS(Features!$B$2:$B$500,$A19,Features!$F$2:$F$500,"Blocked")</f>
      </c>
    </row>
    <row r="20" spans="1:5" x14ac:dyDescent="0.25">
      <c r="A20" t="s">
        <v>18</v>
      </c>
      <c r="B20">
        <f>COUNTIFS(Features!$B$2:$B$500,$A20,Features!$F$2:$F$500,"Done")</f>
      </c>
      <c r="C20">
        <f>COUNTIFS(Features!$B$2:$B$500,$A20,Features!$F$2:$F$500,"In progress")</f>
      </c>
      <c r="D20">
        <f>COUNTIFS(Features!$B$2:$B$500,$A20,Features!$F$2:$F$500,"Not started")</f>
      </c>
      <c r="E20">
        <f>COUNTIFS(Features!$B$2:$B$500,$A20,Features!$F$2:$F$500,"Blocked")</f>
      </c>
    </row>
    <row r="21" spans="1:5" x14ac:dyDescent="0.25">
      <c r="A21" t="s">
        <v>19</v>
      </c>
      <c r="B21">
        <f>COUNTIFS(Features!$B$2:$B$500,$A21,Features!$F$2:$F$500,"Done")</f>
      </c>
      <c r="C21">
        <f>COUNTIFS(Features!$B$2:$B$500,$A21,Features!$F$2:$F$500,"In progress")</f>
      </c>
      <c r="D21">
        <f>COUNTIFS(Features!$B$2:$B$500,$A21,Features!$F$2:$F$500,"Not started")</f>
      </c>
      <c r="E21">
        <f>COUNTIFS(Features!$B$2:$B$500,$A21,Features!$F$2:$F$500,"Blocked")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18" customWidth="1"/>
    <col min="3" max="3" width="42" customWidth="1"/>
    <col min="4" max="4" width="70" customWidth="1"/>
    <col min="5" max="5" width="30" customWidth="1"/>
    <col min="6" max="6" width="13" customWidth="1"/>
    <col min="7" max="7" width="70" customWidth="1"/>
  </cols>
  <sheetData>
    <row r="1" spans="1:7" s="7" customFormat="1" x14ac:dyDescent="0.25">
      <c r="A1" s="7" t="s">
        <v>20</v>
      </c>
      <c r="B1" s="7" t="s">
        <v>9</v>
      </c>
      <c r="C1" s="7" t="s">
        <v>21</v>
      </c>
      <c r="D1" s="7" t="s">
        <v>22</v>
      </c>
      <c r="E1" s="7" t="s">
        <v>23</v>
      </c>
      <c r="F1" s="7" t="s">
        <v>2</v>
      </c>
      <c r="G1" s="7" t="s">
        <v>24</v>
      </c>
    </row>
    <row r="2" spans="1:7" s="8" customFormat="1" x14ac:dyDescent="0.25">
      <c r="A2" s="8" t="s">
        <v>25</v>
      </c>
      <c r="B2" s="8" t="s">
        <v>10</v>
      </c>
      <c r="C2" s="8" t="s">
        <v>26</v>
      </c>
      <c r="D2" s="8" t="s">
        <v>27</v>
      </c>
      <c r="F2" s="9" t="s">
        <v>4</v>
      </c>
      <c r="G2" s="8" t="s">
        <v>28</v>
      </c>
    </row>
    <row r="3" spans="1:7" s="8" customFormat="1" x14ac:dyDescent="0.25">
      <c r="A3" s="8" t="s">
        <v>29</v>
      </c>
      <c r="B3" s="8" t="s">
        <v>10</v>
      </c>
      <c r="C3" s="8" t="s">
        <v>30</v>
      </c>
      <c r="D3" s="8" t="s">
        <v>31</v>
      </c>
      <c r="F3" s="9" t="s">
        <v>4</v>
      </c>
      <c r="G3" s="8" t="s">
        <v>28</v>
      </c>
    </row>
    <row r="4" spans="1:7" s="8" customFormat="1" x14ac:dyDescent="0.25">
      <c r="A4" s="8" t="s">
        <v>32</v>
      </c>
      <c r="B4" s="8" t="s">
        <v>10</v>
      </c>
      <c r="C4" s="8" t="s">
        <v>33</v>
      </c>
      <c r="D4" s="8" t="s">
        <v>34</v>
      </c>
      <c r="F4" s="9" t="s">
        <v>4</v>
      </c>
      <c r="G4" s="8" t="s">
        <v>35</v>
      </c>
    </row>
    <row r="5" spans="1:7" s="8" customFormat="1" x14ac:dyDescent="0.25">
      <c r="A5" s="8" t="s">
        <v>36</v>
      </c>
      <c r="B5" s="8" t="s">
        <v>10</v>
      </c>
      <c r="C5" s="8" t="s">
        <v>37</v>
      </c>
      <c r="D5" s="8" t="s">
        <v>38</v>
      </c>
      <c r="F5" s="9" t="s">
        <v>4</v>
      </c>
      <c r="G5" s="8" t="s">
        <v>28</v>
      </c>
    </row>
    <row r="6" spans="1:7" s="8" customFormat="1" x14ac:dyDescent="0.25">
      <c r="A6" s="8" t="s">
        <v>39</v>
      </c>
      <c r="B6" s="8" t="s">
        <v>10</v>
      </c>
      <c r="C6" s="8" t="s">
        <v>40</v>
      </c>
      <c r="D6" s="8" t="s">
        <v>41</v>
      </c>
      <c r="F6" s="9" t="s">
        <v>4</v>
      </c>
      <c r="G6" s="8" t="s">
        <v>28</v>
      </c>
    </row>
    <row r="7" spans="1:7" s="8" customFormat="1" x14ac:dyDescent="0.25">
      <c r="A7" s="8" t="s">
        <v>42</v>
      </c>
      <c r="B7" s="8" t="s">
        <v>10</v>
      </c>
      <c r="C7" s="8" t="s">
        <v>43</v>
      </c>
      <c r="D7" s="8" t="s">
        <v>44</v>
      </c>
      <c r="F7" s="9" t="s">
        <v>4</v>
      </c>
      <c r="G7" s="8" t="s">
        <v>28</v>
      </c>
    </row>
    <row r="8" spans="1:7" s="8" customFormat="1" x14ac:dyDescent="0.25">
      <c r="A8" s="8" t="s">
        <v>45</v>
      </c>
      <c r="B8" s="8" t="s">
        <v>10</v>
      </c>
      <c r="C8" s="8" t="s">
        <v>46</v>
      </c>
      <c r="D8" s="8" t="s">
        <v>47</v>
      </c>
      <c r="F8" s="9" t="s">
        <v>4</v>
      </c>
      <c r="G8" s="8" t="s">
        <v>28</v>
      </c>
    </row>
    <row r="9" spans="1:7" s="8" customFormat="1" x14ac:dyDescent="0.25">
      <c r="A9" s="8" t="s">
        <v>48</v>
      </c>
      <c r="B9" s="8" t="s">
        <v>10</v>
      </c>
      <c r="C9" s="8" t="s">
        <v>49</v>
      </c>
      <c r="D9" s="8" t="s">
        <v>50</v>
      </c>
      <c r="F9" s="9" t="s">
        <v>4</v>
      </c>
      <c r="G9" s="8" t="s">
        <v>28</v>
      </c>
    </row>
    <row r="10" spans="1:7" s="8" customFormat="1" x14ac:dyDescent="0.25">
      <c r="A10" s="8" t="s">
        <v>51</v>
      </c>
      <c r="B10" s="8" t="s">
        <v>10</v>
      </c>
      <c r="C10" s="8" t="s">
        <v>52</v>
      </c>
      <c r="D10" s="8" t="s">
        <v>53</v>
      </c>
      <c r="F10" s="9" t="s">
        <v>4</v>
      </c>
      <c r="G10" s="8" t="s">
        <v>28</v>
      </c>
    </row>
    <row r="11" spans="1:7" s="8" customFormat="1" x14ac:dyDescent="0.25">
      <c r="A11" s="8" t="s">
        <v>54</v>
      </c>
      <c r="B11" s="8" t="s">
        <v>11</v>
      </c>
      <c r="C11" s="8" t="s">
        <v>55</v>
      </c>
      <c r="D11" s="8" t="s">
        <v>56</v>
      </c>
      <c r="F11" s="9" t="s">
        <v>4</v>
      </c>
      <c r="G11" s="8" t="s">
        <v>28</v>
      </c>
    </row>
    <row r="12" spans="1:7" s="8" customFormat="1" x14ac:dyDescent="0.25">
      <c r="A12" s="8" t="s">
        <v>57</v>
      </c>
      <c r="B12" s="8" t="s">
        <v>11</v>
      </c>
      <c r="C12" s="8" t="s">
        <v>58</v>
      </c>
      <c r="D12" s="8" t="s">
        <v>59</v>
      </c>
      <c r="F12" s="9" t="s">
        <v>4</v>
      </c>
      <c r="G12" s="8" t="s">
        <v>28</v>
      </c>
    </row>
    <row r="13" spans="1:7" s="8" customFormat="1" x14ac:dyDescent="0.25">
      <c r="A13" s="8" t="s">
        <v>60</v>
      </c>
      <c r="B13" s="8" t="s">
        <v>11</v>
      </c>
      <c r="C13" s="8" t="s">
        <v>61</v>
      </c>
      <c r="D13" s="8" t="s">
        <v>62</v>
      </c>
      <c r="F13" s="9" t="s">
        <v>4</v>
      </c>
      <c r="G13" s="8" t="s">
        <v>28</v>
      </c>
    </row>
    <row r="14" spans="1:7" s="8" customFormat="1" x14ac:dyDescent="0.25">
      <c r="A14" s="8" t="s">
        <v>63</v>
      </c>
      <c r="B14" s="8" t="s">
        <v>11</v>
      </c>
      <c r="C14" s="8" t="s">
        <v>64</v>
      </c>
      <c r="D14" s="8" t="s">
        <v>65</v>
      </c>
      <c r="F14" s="9" t="s">
        <v>4</v>
      </c>
      <c r="G14" s="8" t="s">
        <v>28</v>
      </c>
    </row>
    <row r="15" spans="1:7" s="8" customFormat="1" x14ac:dyDescent="0.25">
      <c r="A15" s="8" t="s">
        <v>66</v>
      </c>
      <c r="B15" s="8" t="s">
        <v>11</v>
      </c>
      <c r="C15" s="8" t="s">
        <v>67</v>
      </c>
      <c r="D15" s="8" t="s">
        <v>68</v>
      </c>
      <c r="F15" s="9" t="s">
        <v>4</v>
      </c>
      <c r="G15" s="8" t="s">
        <v>28</v>
      </c>
    </row>
    <row r="16" spans="1:7" s="8" customFormat="1" x14ac:dyDescent="0.25">
      <c r="A16" s="8" t="s">
        <v>69</v>
      </c>
      <c r="B16" s="8" t="s">
        <v>11</v>
      </c>
      <c r="C16" s="8" t="s">
        <v>70</v>
      </c>
      <c r="D16" s="8" t="s">
        <v>71</v>
      </c>
      <c r="F16" s="9" t="s">
        <v>4</v>
      </c>
      <c r="G16" s="8" t="s">
        <v>28</v>
      </c>
    </row>
    <row r="17" spans="1:7" s="8" customFormat="1" x14ac:dyDescent="0.25">
      <c r="A17" s="8" t="s">
        <v>72</v>
      </c>
      <c r="B17" s="8" t="s">
        <v>11</v>
      </c>
      <c r="C17" s="8" t="s">
        <v>73</v>
      </c>
      <c r="D17" s="8" t="s">
        <v>74</v>
      </c>
      <c r="F17" s="9" t="s">
        <v>4</v>
      </c>
      <c r="G17" s="8" t="s">
        <v>28</v>
      </c>
    </row>
    <row r="18" spans="1:7" s="8" customFormat="1" x14ac:dyDescent="0.25">
      <c r="A18" s="8" t="s">
        <v>75</v>
      </c>
      <c r="B18" s="8" t="s">
        <v>11</v>
      </c>
      <c r="C18" s="8" t="s">
        <v>76</v>
      </c>
      <c r="D18" s="8" t="s">
        <v>77</v>
      </c>
      <c r="F18" s="9" t="s">
        <v>4</v>
      </c>
      <c r="G18" s="8" t="s">
        <v>28</v>
      </c>
    </row>
    <row r="19" spans="1:7" s="8" customFormat="1" x14ac:dyDescent="0.25">
      <c r="A19" s="8" t="s">
        <v>78</v>
      </c>
      <c r="B19" s="8" t="s">
        <v>11</v>
      </c>
      <c r="C19" s="8" t="s">
        <v>79</v>
      </c>
      <c r="D19" s="8" t="s">
        <v>80</v>
      </c>
      <c r="F19" s="9" t="s">
        <v>4</v>
      </c>
      <c r="G19" s="8" t="s">
        <v>28</v>
      </c>
    </row>
    <row r="20" spans="1:7" s="8" customFormat="1" x14ac:dyDescent="0.25">
      <c r="A20" s="8" t="s">
        <v>81</v>
      </c>
      <c r="B20" s="8" t="s">
        <v>11</v>
      </c>
      <c r="C20" s="8" t="s">
        <v>82</v>
      </c>
      <c r="D20" s="8" t="s">
        <v>83</v>
      </c>
      <c r="F20" s="9" t="s">
        <v>4</v>
      </c>
      <c r="G20" s="8" t="s">
        <v>84</v>
      </c>
    </row>
    <row r="21" spans="1:7" s="8" customFormat="1" x14ac:dyDescent="0.25">
      <c r="A21" s="8" t="s">
        <v>85</v>
      </c>
      <c r="B21" s="8" t="s">
        <v>12</v>
      </c>
      <c r="C21" s="8" t="s">
        <v>86</v>
      </c>
      <c r="D21" s="8" t="s">
        <v>87</v>
      </c>
      <c r="F21" s="9" t="s">
        <v>4</v>
      </c>
      <c r="G21" s="8" t="s">
        <v>88</v>
      </c>
    </row>
    <row r="22" spans="1:7" s="8" customFormat="1" x14ac:dyDescent="0.25">
      <c r="A22" s="8" t="s">
        <v>89</v>
      </c>
      <c r="B22" s="8" t="s">
        <v>12</v>
      </c>
      <c r="C22" s="8" t="s">
        <v>90</v>
      </c>
      <c r="D22" s="8" t="s">
        <v>91</v>
      </c>
      <c r="F22" s="9" t="s">
        <v>4</v>
      </c>
      <c r="G22" s="8" t="s">
        <v>28</v>
      </c>
    </row>
    <row r="23" spans="1:7" s="8" customFormat="1" x14ac:dyDescent="0.25">
      <c r="A23" s="8" t="s">
        <v>92</v>
      </c>
      <c r="B23" s="8" t="s">
        <v>12</v>
      </c>
      <c r="C23" s="8" t="s">
        <v>93</v>
      </c>
      <c r="D23" s="8" t="s">
        <v>94</v>
      </c>
      <c r="E23" s="8" t="s">
        <v>95</v>
      </c>
      <c r="F23" s="10" t="s">
        <v>7</v>
      </c>
      <c r="G23" s="8" t="s">
        <v>96</v>
      </c>
    </row>
    <row r="24" spans="1:7" s="8" customFormat="1" x14ac:dyDescent="0.25">
      <c r="A24" s="8" t="s">
        <v>97</v>
      </c>
      <c r="B24" s="8" t="s">
        <v>12</v>
      </c>
      <c r="C24" s="8" t="s">
        <v>98</v>
      </c>
      <c r="D24" s="8" t="s">
        <v>99</v>
      </c>
      <c r="F24" s="9" t="s">
        <v>4</v>
      </c>
      <c r="G24" s="8" t="s">
        <v>100</v>
      </c>
    </row>
    <row r="25" spans="1:7" s="8" customFormat="1" x14ac:dyDescent="0.25">
      <c r="A25" s="8" t="s">
        <v>101</v>
      </c>
      <c r="B25" s="8" t="s">
        <v>12</v>
      </c>
      <c r="C25" s="8" t="s">
        <v>102</v>
      </c>
      <c r="D25" s="8" t="s">
        <v>103</v>
      </c>
      <c r="F25" s="9" t="s">
        <v>4</v>
      </c>
      <c r="G25" s="8" t="s">
        <v>28</v>
      </c>
    </row>
    <row r="26" spans="1:7" s="8" customFormat="1" x14ac:dyDescent="0.25">
      <c r="A26" s="8" t="s">
        <v>104</v>
      </c>
      <c r="B26" s="8" t="s">
        <v>12</v>
      </c>
      <c r="C26" s="8" t="s">
        <v>105</v>
      </c>
      <c r="D26" s="8" t="s">
        <v>106</v>
      </c>
      <c r="F26" s="9" t="s">
        <v>4</v>
      </c>
      <c r="G26" s="8" t="s">
        <v>28</v>
      </c>
    </row>
    <row r="27" spans="1:7" s="8" customFormat="1" x14ac:dyDescent="0.25">
      <c r="A27" s="8" t="s">
        <v>107</v>
      </c>
      <c r="B27" s="8" t="s">
        <v>12</v>
      </c>
      <c r="C27" s="8" t="s">
        <v>108</v>
      </c>
      <c r="D27" s="8" t="s">
        <v>109</v>
      </c>
      <c r="F27" s="9" t="s">
        <v>4</v>
      </c>
      <c r="G27" s="8" t="s">
        <v>28</v>
      </c>
    </row>
    <row r="28" spans="1:7" s="8" customFormat="1" x14ac:dyDescent="0.25">
      <c r="A28" s="8" t="s">
        <v>110</v>
      </c>
      <c r="B28" s="8" t="s">
        <v>12</v>
      </c>
      <c r="C28" s="8" t="s">
        <v>111</v>
      </c>
      <c r="D28" s="8" t="s">
        <v>112</v>
      </c>
      <c r="F28" s="9" t="s">
        <v>4</v>
      </c>
      <c r="G28" s="8" t="s">
        <v>113</v>
      </c>
    </row>
    <row r="29" spans="1:7" s="8" customFormat="1" x14ac:dyDescent="0.25">
      <c r="A29" s="8" t="s">
        <v>114</v>
      </c>
      <c r="B29" s="8" t="s">
        <v>12</v>
      </c>
      <c r="C29" s="8" t="s">
        <v>115</v>
      </c>
      <c r="D29" s="8" t="s">
        <v>116</v>
      </c>
      <c r="F29" s="9" t="s">
        <v>4</v>
      </c>
      <c r="G29" s="8" t="s">
        <v>28</v>
      </c>
    </row>
    <row r="30" spans="1:7" s="8" customFormat="1" x14ac:dyDescent="0.25">
      <c r="A30" s="8" t="s">
        <v>117</v>
      </c>
      <c r="B30" s="8" t="s">
        <v>13</v>
      </c>
      <c r="C30" s="8" t="s">
        <v>118</v>
      </c>
      <c r="D30" s="8" t="s">
        <v>119</v>
      </c>
      <c r="F30" s="9" t="s">
        <v>4</v>
      </c>
      <c r="G30" s="8" t="s">
        <v>28</v>
      </c>
    </row>
    <row r="31" spans="1:7" s="8" customFormat="1" x14ac:dyDescent="0.25">
      <c r="A31" s="8" t="s">
        <v>120</v>
      </c>
      <c r="B31" s="8" t="s">
        <v>13</v>
      </c>
      <c r="C31" s="8" t="s">
        <v>121</v>
      </c>
      <c r="D31" s="8" t="s">
        <v>122</v>
      </c>
      <c r="F31" s="9" t="s">
        <v>4</v>
      </c>
      <c r="G31" s="8" t="s">
        <v>28</v>
      </c>
    </row>
    <row r="32" spans="1:7" s="8" customFormat="1" x14ac:dyDescent="0.25">
      <c r="A32" s="8" t="s">
        <v>123</v>
      </c>
      <c r="B32" s="8" t="s">
        <v>13</v>
      </c>
      <c r="C32" s="8" t="s">
        <v>124</v>
      </c>
      <c r="D32" s="8" t="s">
        <v>125</v>
      </c>
      <c r="E32" s="8" t="s">
        <v>95</v>
      </c>
      <c r="F32" s="10" t="s">
        <v>7</v>
      </c>
      <c r="G32" s="8" t="s">
        <v>126</v>
      </c>
    </row>
    <row r="33" spans="1:7" s="8" customFormat="1" x14ac:dyDescent="0.25">
      <c r="A33" s="8" t="s">
        <v>127</v>
      </c>
      <c r="B33" s="8" t="s">
        <v>13</v>
      </c>
      <c r="C33" s="8" t="s">
        <v>128</v>
      </c>
      <c r="D33" s="8" t="s">
        <v>129</v>
      </c>
      <c r="E33" s="8" t="s">
        <v>95</v>
      </c>
      <c r="F33" s="10" t="s">
        <v>7</v>
      </c>
      <c r="G33" s="8" t="s">
        <v>130</v>
      </c>
    </row>
    <row r="34" spans="1:7" s="8" customFormat="1" x14ac:dyDescent="0.25">
      <c r="A34" s="8" t="s">
        <v>131</v>
      </c>
      <c r="B34" s="8" t="s">
        <v>13</v>
      </c>
      <c r="C34" s="8" t="s">
        <v>132</v>
      </c>
      <c r="D34" s="8" t="s">
        <v>133</v>
      </c>
      <c r="F34" s="9" t="s">
        <v>4</v>
      </c>
      <c r="G34" s="8" t="s">
        <v>134</v>
      </c>
    </row>
    <row r="35" spans="1:7" s="8" customFormat="1" x14ac:dyDescent="0.25">
      <c r="A35" s="8" t="s">
        <v>135</v>
      </c>
      <c r="B35" s="8" t="s">
        <v>13</v>
      </c>
      <c r="C35" s="8" t="s">
        <v>136</v>
      </c>
      <c r="D35" s="8" t="s">
        <v>137</v>
      </c>
      <c r="E35" s="8" t="s">
        <v>95</v>
      </c>
      <c r="F35" s="10" t="s">
        <v>7</v>
      </c>
      <c r="G35" s="8" t="s">
        <v>138</v>
      </c>
    </row>
    <row r="36" spans="1:7" s="8" customFormat="1" x14ac:dyDescent="0.25">
      <c r="A36" s="8" t="s">
        <v>139</v>
      </c>
      <c r="B36" s="8" t="s">
        <v>13</v>
      </c>
      <c r="C36" s="8" t="s">
        <v>140</v>
      </c>
      <c r="D36" s="8" t="s">
        <v>141</v>
      </c>
      <c r="F36" s="9" t="s">
        <v>4</v>
      </c>
      <c r="G36" s="8" t="s">
        <v>142</v>
      </c>
    </row>
    <row r="37" spans="1:7" s="8" customFormat="1" x14ac:dyDescent="0.25">
      <c r="A37" s="8" t="s">
        <v>143</v>
      </c>
      <c r="B37" s="8" t="s">
        <v>13</v>
      </c>
      <c r="C37" s="8" t="s">
        <v>144</v>
      </c>
      <c r="D37" s="8" t="s">
        <v>145</v>
      </c>
      <c r="F37" s="9" t="s">
        <v>4</v>
      </c>
      <c r="G37" s="8" t="s">
        <v>28</v>
      </c>
    </row>
    <row r="38" spans="1:7" s="8" customFormat="1" x14ac:dyDescent="0.25">
      <c r="A38" s="8" t="s">
        <v>146</v>
      </c>
      <c r="B38" s="8" t="s">
        <v>13</v>
      </c>
      <c r="C38" s="8" t="s">
        <v>147</v>
      </c>
      <c r="D38" s="8" t="s">
        <v>148</v>
      </c>
      <c r="F38" s="9" t="s">
        <v>4</v>
      </c>
      <c r="G38" s="8" t="s">
        <v>28</v>
      </c>
    </row>
    <row r="39" spans="1:7" s="8" customFormat="1" x14ac:dyDescent="0.25">
      <c r="A39" s="8" t="s">
        <v>149</v>
      </c>
      <c r="B39" s="8" t="s">
        <v>14</v>
      </c>
      <c r="C39" s="8" t="s">
        <v>150</v>
      </c>
      <c r="D39" s="8" t="s">
        <v>151</v>
      </c>
      <c r="F39" s="9" t="s">
        <v>4</v>
      </c>
      <c r="G39" s="8" t="s">
        <v>28</v>
      </c>
    </row>
    <row r="40" spans="1:7" s="8" customFormat="1" x14ac:dyDescent="0.25">
      <c r="A40" s="8" t="s">
        <v>152</v>
      </c>
      <c r="B40" s="8" t="s">
        <v>14</v>
      </c>
      <c r="C40" s="8" t="s">
        <v>153</v>
      </c>
      <c r="D40" s="8" t="s">
        <v>154</v>
      </c>
      <c r="E40" s="8" t="s">
        <v>95</v>
      </c>
      <c r="F40" s="10" t="s">
        <v>7</v>
      </c>
      <c r="G40" s="8" t="s">
        <v>155</v>
      </c>
    </row>
    <row r="41" spans="1:7" s="8" customFormat="1" x14ac:dyDescent="0.25">
      <c r="A41" s="8" t="s">
        <v>156</v>
      </c>
      <c r="B41" s="8" t="s">
        <v>14</v>
      </c>
      <c r="C41" s="8" t="s">
        <v>157</v>
      </c>
      <c r="D41" s="8" t="s">
        <v>158</v>
      </c>
      <c r="F41" s="9" t="s">
        <v>4</v>
      </c>
      <c r="G41" s="8" t="s">
        <v>28</v>
      </c>
    </row>
    <row r="42" spans="1:7" s="8" customFormat="1" x14ac:dyDescent="0.25">
      <c r="A42" s="8" t="s">
        <v>159</v>
      </c>
      <c r="B42" s="8" t="s">
        <v>15</v>
      </c>
      <c r="C42" s="8" t="s">
        <v>160</v>
      </c>
      <c r="D42" s="8" t="s">
        <v>161</v>
      </c>
      <c r="F42" s="9" t="s">
        <v>4</v>
      </c>
      <c r="G42" s="8" t="s">
        <v>28</v>
      </c>
    </row>
    <row r="43" spans="1:7" s="8" customFormat="1" x14ac:dyDescent="0.25">
      <c r="A43" s="8" t="s">
        <v>162</v>
      </c>
      <c r="B43" s="8" t="s">
        <v>15</v>
      </c>
      <c r="C43" s="8" t="s">
        <v>163</v>
      </c>
      <c r="D43" s="8" t="s">
        <v>164</v>
      </c>
      <c r="F43" s="9" t="s">
        <v>4</v>
      </c>
      <c r="G43" s="8" t="s">
        <v>28</v>
      </c>
    </row>
    <row r="44" spans="1:7" s="8" customFormat="1" x14ac:dyDescent="0.25">
      <c r="A44" s="8" t="s">
        <v>165</v>
      </c>
      <c r="B44" s="8" t="s">
        <v>15</v>
      </c>
      <c r="C44" s="8" t="s">
        <v>166</v>
      </c>
      <c r="D44" s="8" t="s">
        <v>167</v>
      </c>
      <c r="F44" s="9" t="s">
        <v>4</v>
      </c>
      <c r="G44" s="8" t="s">
        <v>28</v>
      </c>
    </row>
    <row r="45" spans="1:7" s="8" customFormat="1" x14ac:dyDescent="0.25">
      <c r="A45" s="8" t="s">
        <v>168</v>
      </c>
      <c r="B45" s="8" t="s">
        <v>15</v>
      </c>
      <c r="C45" s="8" t="s">
        <v>169</v>
      </c>
      <c r="D45" s="8" t="s">
        <v>170</v>
      </c>
      <c r="F45" s="9" t="s">
        <v>4</v>
      </c>
      <c r="G45" s="8" t="s">
        <v>28</v>
      </c>
    </row>
    <row r="46" spans="1:7" s="8" customFormat="1" x14ac:dyDescent="0.25">
      <c r="A46" s="8" t="s">
        <v>171</v>
      </c>
      <c r="B46" s="8" t="s">
        <v>15</v>
      </c>
      <c r="C46" s="8" t="s">
        <v>172</v>
      </c>
      <c r="D46" s="8" t="s">
        <v>173</v>
      </c>
      <c r="F46" s="9" t="s">
        <v>4</v>
      </c>
      <c r="G46" s="8" t="s">
        <v>28</v>
      </c>
    </row>
    <row r="47" spans="1:7" s="8" customFormat="1" x14ac:dyDescent="0.25">
      <c r="A47" s="8" t="s">
        <v>174</v>
      </c>
      <c r="B47" s="8" t="s">
        <v>15</v>
      </c>
      <c r="C47" s="8" t="s">
        <v>175</v>
      </c>
      <c r="D47" s="8" t="s">
        <v>176</v>
      </c>
      <c r="F47" s="9" t="s">
        <v>4</v>
      </c>
      <c r="G47" s="8" t="s">
        <v>28</v>
      </c>
    </row>
    <row r="48" spans="1:7" s="8" customFormat="1" x14ac:dyDescent="0.25">
      <c r="A48" s="8" t="s">
        <v>177</v>
      </c>
      <c r="B48" s="8" t="s">
        <v>16</v>
      </c>
      <c r="C48" s="8" t="s">
        <v>178</v>
      </c>
      <c r="D48" s="8" t="s">
        <v>179</v>
      </c>
      <c r="F48" s="9" t="s">
        <v>4</v>
      </c>
      <c r="G48" s="8" t="s">
        <v>28</v>
      </c>
    </row>
    <row r="49" spans="1:7" s="8" customFormat="1" x14ac:dyDescent="0.25">
      <c r="A49" s="8" t="s">
        <v>180</v>
      </c>
      <c r="B49" s="8" t="s">
        <v>16</v>
      </c>
      <c r="C49" s="8" t="s">
        <v>181</v>
      </c>
      <c r="D49" s="8" t="s">
        <v>182</v>
      </c>
      <c r="F49" s="9" t="s">
        <v>4</v>
      </c>
      <c r="G49" s="8" t="s">
        <v>183</v>
      </c>
    </row>
    <row r="50" spans="1:7" s="8" customFormat="1" x14ac:dyDescent="0.25">
      <c r="A50" s="8" t="s">
        <v>184</v>
      </c>
      <c r="B50" s="8" t="s">
        <v>16</v>
      </c>
      <c r="C50" s="8" t="s">
        <v>185</v>
      </c>
      <c r="D50" s="8" t="s">
        <v>186</v>
      </c>
      <c r="F50" s="11" t="s">
        <v>5</v>
      </c>
      <c r="G50" s="8" t="s">
        <v>187</v>
      </c>
    </row>
    <row r="51" spans="1:7" s="8" customFormat="1" x14ac:dyDescent="0.25">
      <c r="A51" s="8" t="s">
        <v>188</v>
      </c>
      <c r="B51" s="8" t="s">
        <v>16</v>
      </c>
      <c r="C51" s="8" t="s">
        <v>189</v>
      </c>
      <c r="D51" s="8" t="s">
        <v>190</v>
      </c>
      <c r="F51" s="9" t="s">
        <v>4</v>
      </c>
      <c r="G51" s="8" t="s">
        <v>191</v>
      </c>
    </row>
    <row r="52" spans="1:7" s="8" customFormat="1" x14ac:dyDescent="0.25">
      <c r="A52" s="8" t="s">
        <v>192</v>
      </c>
      <c r="B52" s="8" t="s">
        <v>16</v>
      </c>
      <c r="C52" s="8" t="s">
        <v>193</v>
      </c>
      <c r="D52" s="8" t="s">
        <v>194</v>
      </c>
      <c r="F52" s="9" t="s">
        <v>4</v>
      </c>
      <c r="G52" s="8" t="s">
        <v>28</v>
      </c>
    </row>
    <row r="53" spans="1:7" s="8" customFormat="1" x14ac:dyDescent="0.25">
      <c r="A53" s="8" t="s">
        <v>195</v>
      </c>
      <c r="B53" s="8" t="s">
        <v>16</v>
      </c>
      <c r="C53" s="8" t="s">
        <v>196</v>
      </c>
      <c r="D53" s="8" t="s">
        <v>197</v>
      </c>
      <c r="F53" s="9" t="s">
        <v>4</v>
      </c>
      <c r="G53" s="8" t="s">
        <v>198</v>
      </c>
    </row>
    <row r="54" spans="1:7" s="8" customFormat="1" x14ac:dyDescent="0.25">
      <c r="A54" s="8" t="s">
        <v>199</v>
      </c>
      <c r="B54" s="8" t="s">
        <v>17</v>
      </c>
      <c r="C54" s="8" t="s">
        <v>200</v>
      </c>
      <c r="D54" s="8" t="s">
        <v>201</v>
      </c>
      <c r="F54" s="9" t="s">
        <v>4</v>
      </c>
      <c r="G54" s="8" t="s">
        <v>28</v>
      </c>
    </row>
    <row r="55" spans="1:7" s="8" customFormat="1" x14ac:dyDescent="0.25">
      <c r="A55" s="8" t="s">
        <v>202</v>
      </c>
      <c r="B55" s="8" t="s">
        <v>18</v>
      </c>
      <c r="C55" s="8" t="s">
        <v>203</v>
      </c>
      <c r="D55" s="8" t="s">
        <v>204</v>
      </c>
      <c r="F55" s="9" t="s">
        <v>4</v>
      </c>
      <c r="G55" s="8" t="s">
        <v>205</v>
      </c>
    </row>
    <row r="56" spans="1:7" s="8" customFormat="1" x14ac:dyDescent="0.25">
      <c r="A56" s="8" t="s">
        <v>206</v>
      </c>
      <c r="B56" s="8" t="s">
        <v>19</v>
      </c>
      <c r="C56" s="8" t="s">
        <v>207</v>
      </c>
      <c r="D56" s="8" t="s">
        <v>208</v>
      </c>
      <c r="F56" s="9" t="s">
        <v>4</v>
      </c>
      <c r="G56" s="8" t="s">
        <v>209</v>
      </c>
    </row>
    <row r="57" spans="1:7" s="8" customFormat="1" x14ac:dyDescent="0.25">
      <c r="A57" s="8" t="s">
        <v>210</v>
      </c>
      <c r="B57" s="8" t="s">
        <v>16</v>
      </c>
      <c r="C57" s="8" t="s">
        <v>211</v>
      </c>
      <c r="D57" s="8" t="s">
        <v>212</v>
      </c>
      <c r="E57" s="8" t="s">
        <v>95</v>
      </c>
      <c r="F57" s="10" t="s">
        <v>7</v>
      </c>
      <c r="G57" s="8" t="s">
        <v>213</v>
      </c>
    </row>
  </sheetData>
  <autoFilter ref="A1:G1"/>
  <dataValidations count="2">
    <dataValidation type="list" sqref="F10:F57">
      <formula1>"Done,In progress,Not started,Blocked"</formula1>
    </dataValidation>
    <dataValidation type="list" sqref="F2:F57">
      <formula1>"Done,In progress,Not started,Blocked"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80" customWidth="1"/>
    <col min="3" max="3" width="14" customWidth="1"/>
  </cols>
  <sheetData>
    <row r="1" spans="1:3" s="7" customFormat="1" x14ac:dyDescent="0.25">
      <c r="A1" s="7" t="s">
        <v>214</v>
      </c>
      <c r="B1" s="7" t="s">
        <v>215</v>
      </c>
      <c r="C1" s="7" t="s">
        <v>216</v>
      </c>
    </row>
    <row r="2" spans="1:3" s="8" customFormat="1" x14ac:dyDescent="0.25">
      <c r="A2" s="8" t="s">
        <v>92</v>
      </c>
      <c r="B2" s="8" t="s">
        <v>217</v>
      </c>
      <c r="C2" s="8" t="s">
        <v>218</v>
      </c>
    </row>
    <row r="3" spans="1:3" s="8" customFormat="1" x14ac:dyDescent="0.25">
      <c r="A3" s="8" t="s">
        <v>123</v>
      </c>
      <c r="B3" s="8" t="s">
        <v>219</v>
      </c>
      <c r="C3" s="8" t="s">
        <v>218</v>
      </c>
    </row>
    <row r="4" spans="1:3" s="8" customFormat="1" x14ac:dyDescent="0.25">
      <c r="A4" s="8" t="s">
        <v>127</v>
      </c>
      <c r="B4" s="8" t="s">
        <v>220</v>
      </c>
      <c r="C4" s="8" t="s">
        <v>218</v>
      </c>
    </row>
    <row r="5" spans="1:3" s="8" customFormat="1" x14ac:dyDescent="0.25">
      <c r="A5" s="8" t="s">
        <v>135</v>
      </c>
      <c r="B5" s="8" t="s">
        <v>221</v>
      </c>
      <c r="C5" s="8" t="s">
        <v>218</v>
      </c>
    </row>
    <row r="6" spans="1:3" s="8" customFormat="1" x14ac:dyDescent="0.25">
      <c r="A6" s="8" t="s">
        <v>152</v>
      </c>
      <c r="B6" s="8" t="s">
        <v>222</v>
      </c>
      <c r="C6" s="8" t="s">
        <v>218</v>
      </c>
    </row>
    <row r="7" spans="1:3" s="8" customFormat="1" x14ac:dyDescent="0.25">
      <c r="A7" s="8" t="s">
        <v>184</v>
      </c>
      <c r="B7" s="8" t="s">
        <v>223</v>
      </c>
      <c r="C7" s="8" t="s">
        <v>218</v>
      </c>
    </row>
    <row r="8" spans="1:3" s="8" customFormat="1" x14ac:dyDescent="0.25">
      <c r="A8" s="8" t="s">
        <v>210</v>
      </c>
      <c r="B8" s="8" t="s">
        <v>224</v>
      </c>
      <c r="C8" s="8" t="s">
        <v>218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Features</vt:lpstr>
      <vt:lpstr>Blocked &amp; owner actions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GoKesari</dc:creator>
  <dc:title/>
  <dc:subject/>
  <dc:description/>
  <cp:keywords/>
  <cp:category/>
  <cp:lastModifiedBy>Unknown</cp:lastModifiedBy>
  <dcterms:created xsi:type="dcterms:W3CDTF">2026-10-15T16:08:59Z</dcterms:created>
  <dcterms:modified xsi:type="dcterms:W3CDTF">2026-10-15T16:08:59Z</dcterms:modified>
</cp:coreProperties>
</file>